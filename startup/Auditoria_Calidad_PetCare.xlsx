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 de Calidad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404040"/>
      </patternFill>
    </fill>
    <fill>
      <patternFill patternType="solid">
        <fgColor rgb="00E8F4F8"/>
      </patternFill>
    </fill>
    <fill>
      <patternFill patternType="solid">
        <fgColor rgb="00FFD966"/>
      </patternFill>
    </fill>
    <fill>
      <patternFill patternType="solid">
        <fgColor rgb="00EBF5E0"/>
      </patternFill>
    </fill>
    <fill>
      <patternFill patternType="solid">
        <fgColor rgb="00FFF8E1"/>
      </patternFill>
    </fill>
    <fill>
      <patternFill patternType="solid">
        <fgColor rgb="00FDE8D8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 indent="1"/>
    </xf>
    <xf numFmtId="0" fontId="7" fillId="7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center" vertical="top" wrapText="1" inden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 indent="1"/>
    </xf>
    <xf numFmtId="0" fontId="7" fillId="8" borderId="1" applyAlignment="1" pivotButton="0" quotePrefix="0" xfId="0">
      <alignment horizontal="center" vertical="top" wrapText="1" indent="1"/>
    </xf>
    <xf numFmtId="0" fontId="7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 indent="1"/>
    </xf>
    <xf numFmtId="0" fontId="7" fillId="9" borderId="1" applyAlignment="1" pivotButton="0" quotePrefix="0" xfId="0">
      <alignment horizontal="center" vertical="top" wrapText="1" indent="1"/>
    </xf>
    <xf numFmtId="0" fontId="7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 indent="1"/>
    </xf>
    <xf numFmtId="0" fontId="7" fillId="10" borderId="1" applyAlignment="1" pivotButton="0" quotePrefix="0" xfId="0">
      <alignment horizontal="center" vertical="top" wrapText="1" indent="1"/>
    </xf>
    <xf numFmtId="0" fontId="5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 indent="1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30" customWidth="1" min="4" max="4"/>
    <col width="20" customWidth="1" min="5" max="5"/>
    <col width="14" customWidth="1" min="6" max="6"/>
    <col width="28" customWidth="1" min="7" max="7"/>
    <col width="14" customWidth="1" min="8" max="8"/>
    <col width="28" customWidth="1" min="9" max="9"/>
    <col width="14" customWidth="1" min="10" max="10"/>
    <col width="28" customWidth="1" min="11" max="11"/>
    <col width="20" customWidth="1" min="12" max="12"/>
    <col width="35" customWidth="1" min="13" max="13"/>
  </cols>
  <sheetData>
    <row r="1" ht="36" customHeight="1">
      <c r="A1" s="1" t="inlineStr">
        <is>
          <t>AUDITORÍA DE CALIDAD</t>
        </is>
      </c>
    </row>
    <row r="2" ht="22" customHeight="1">
      <c r="A2" s="2" t="inlineStr">
        <is>
          <t>Proyecto PetCare MVP  —  Plataforma de servicios para mascotas en Tunja</t>
        </is>
      </c>
    </row>
    <row r="3" ht="18" customHeight="1">
      <c r="A3" s="3" t="inlineStr">
        <is>
          <t>Nombre del proyecto:</t>
        </is>
      </c>
      <c r="C3" s="4" t="inlineStr">
        <is>
          <t>PetCare MVP</t>
        </is>
      </c>
    </row>
    <row r="4" ht="18" customHeight="1">
      <c r="A4" s="3" t="inlineStr">
        <is>
          <t>Gerente del proyecto:</t>
        </is>
      </c>
      <c r="C4" s="4" t="inlineStr"/>
    </row>
    <row r="5" ht="18" customHeight="1">
      <c r="A5" s="3" t="inlineStr">
        <is>
          <t>Fecha de emisión:</t>
        </is>
      </c>
      <c r="C5" s="4" t="inlineStr">
        <is>
          <t>13/05/2026</t>
        </is>
      </c>
    </row>
    <row r="6" ht="18" customHeight="1">
      <c r="A6" s="3" t="inlineStr">
        <is>
          <t>Versión:</t>
        </is>
      </c>
      <c r="C6" s="4" t="inlineStr">
        <is>
          <t>1.00</t>
        </is>
      </c>
    </row>
    <row r="7" ht="18" customHeight="1">
      <c r="A7" s="3" t="inlineStr">
        <is>
          <t>Período cubierto:</t>
        </is>
      </c>
      <c r="C7" s="4" t="inlineStr">
        <is>
          <t>Sprint 1 – Sprint 4  (15 Mar – 25 May 2026)</t>
        </is>
      </c>
    </row>
    <row r="8" ht="8" customHeight="1"/>
    <row r="9" ht="28" customHeight="1">
      <c r="A9" s="5" t="inlineStr">
        <is>
          <t>No.</t>
        </is>
      </c>
      <c r="B9" s="5" t="inlineStr">
        <is>
          <t>Entregable</t>
        </is>
      </c>
      <c r="C9" s="5" t="inlineStr">
        <is>
          <t>Descripción</t>
        </is>
      </c>
      <c r="D9" s="5" t="inlineStr">
        <is>
          <t>Criterios de
Aceptación</t>
        </is>
      </c>
      <c r="E9" s="5" t="inlineStr">
        <is>
          <t>Nombre del
Auditor</t>
        </is>
      </c>
      <c r="F9" s="5" t="inlineStr">
        <is>
          <t>1ª Auditoría</t>
        </is>
      </c>
      <c r="H9" s="5" t="inlineStr">
        <is>
          <t>2ª Auditoría</t>
        </is>
      </c>
      <c r="J9" s="5" t="inlineStr">
        <is>
          <t>3ª Auditoría</t>
        </is>
      </c>
      <c r="L9" s="5" t="inlineStr">
        <is>
          <t>Estado
Final</t>
        </is>
      </c>
      <c r="M9" s="5" t="inlineStr">
        <is>
          <t>Observaciones /
Lecciones Aprendidas</t>
        </is>
      </c>
    </row>
    <row r="10" ht="18" customHeight="1">
      <c r="F10" s="6" t="inlineStr">
        <is>
          <t>Fecha</t>
        </is>
      </c>
      <c r="G10" s="6" t="inlineStr">
        <is>
          <t>Conclusiones</t>
        </is>
      </c>
      <c r="H10" s="6" t="inlineStr">
        <is>
          <t>Fecha</t>
        </is>
      </c>
      <c r="I10" s="6" t="inlineStr">
        <is>
          <t>Conclusiones</t>
        </is>
      </c>
      <c r="J10" s="6" t="inlineStr">
        <is>
          <t>Fecha</t>
        </is>
      </c>
      <c r="K10" s="6" t="inlineStr">
        <is>
          <t>Conclusiones</t>
        </is>
      </c>
    </row>
    <row r="11" ht="55" customHeight="1">
      <c r="A11" s="7" t="n">
        <v>1</v>
      </c>
      <c r="B11" s="8" t="inlineStr">
        <is>
          <t>HU-01
Registro de usuarios</t>
        </is>
      </c>
      <c r="C11" s="8" t="inlineStr">
        <is>
          <t>Formulario de registro con Firebase Authentication para nuevos usuarios (clientes y proveedores).</t>
        </is>
      </c>
      <c r="D11" s="8" t="inlineStr">
        <is>
          <t>Usuario puede registrarse con correo y contraseña; cuenta creada en Firebase Auth; datos almacenados en DB; pruebas unitarias e integración pasadas.</t>
        </is>
      </c>
      <c r="E11" s="9" t="inlineStr">
        <is>
          <t>Por asignar</t>
        </is>
      </c>
      <c r="F11" s="10" t="inlineStr"/>
      <c r="G11" s="8" t="inlineStr"/>
      <c r="H11" s="10" t="inlineStr"/>
      <c r="I11" s="8" t="inlineStr"/>
      <c r="J11" s="10" t="inlineStr"/>
      <c r="K11" s="8" t="inlineStr"/>
      <c r="L11" s="10" t="inlineStr">
        <is>
          <t>🔄 Pendiente</t>
        </is>
      </c>
      <c r="M11" s="8" t="inlineStr"/>
    </row>
    <row r="12" ht="55" customHeight="1">
      <c r="A12" s="7" t="n">
        <v>2</v>
      </c>
      <c r="B12" s="8" t="inlineStr">
        <is>
          <t>HU-02
Inicio de sesión</t>
        </is>
      </c>
      <c r="C12" s="8" t="inlineStr">
        <is>
          <t>Formulario de autenticación con Firebase Authentication y acceso a página de inicio personalizada.</t>
        </is>
      </c>
      <c r="D12" s="8" t="inlineStr">
        <is>
          <t>Login exitoso con credenciales válidas; redirección a página de inicio; manejo de errores de autenticación; pruebas unitarias pasadas.</t>
        </is>
      </c>
      <c r="E12" s="9" t="inlineStr">
        <is>
          <t>Por asignar</t>
        </is>
      </c>
      <c r="F12" s="10" t="inlineStr"/>
      <c r="G12" s="8" t="inlineStr"/>
      <c r="H12" s="10" t="inlineStr"/>
      <c r="I12" s="8" t="inlineStr"/>
      <c r="J12" s="10" t="inlineStr"/>
      <c r="K12" s="8" t="inlineStr"/>
      <c r="L12" s="10" t="inlineStr">
        <is>
          <t>🔄 Pendiente</t>
        </is>
      </c>
      <c r="M12" s="8" t="inlineStr"/>
    </row>
    <row r="13" ht="55" customHeight="1">
      <c r="A13" s="7" t="n">
        <v>3</v>
      </c>
      <c r="B13" s="8" t="inlineStr">
        <is>
          <t>HU-08
Perfil profesional (proveedor)</t>
        </is>
      </c>
      <c r="C13" s="8" t="inlineStr">
        <is>
          <t>Creación y edición del perfil profesional del proveedor con información de negocio, experiencia y servicios.</t>
        </is>
      </c>
      <c r="D13" s="8" t="inlineStr">
        <is>
          <t>CRUD completo del perfil; endpoints documentados; imágenes cargadas correctamente; pruebas de integración pasadas.</t>
        </is>
      </c>
      <c r="E13" s="9" t="inlineStr">
        <is>
          <t>Por asignar</t>
        </is>
      </c>
      <c r="F13" s="10" t="inlineStr"/>
      <c r="G13" s="8" t="inlineStr"/>
      <c r="H13" s="10" t="inlineStr"/>
      <c r="I13" s="8" t="inlineStr"/>
      <c r="J13" s="10" t="inlineStr"/>
      <c r="K13" s="8" t="inlineStr"/>
      <c r="L13" s="10" t="inlineStr">
        <is>
          <t>🔄 Pendiente</t>
        </is>
      </c>
      <c r="M13" s="8" t="inlineStr"/>
    </row>
    <row r="14" ht="55" customHeight="1">
      <c r="A14" s="7" t="n">
        <v>4</v>
      </c>
      <c r="B14" s="8" t="inlineStr">
        <is>
          <t>HU-07
Perfil de mascotas (cliente)</t>
        </is>
      </c>
      <c r="C14" s="8" t="inlineStr">
        <is>
          <t>Creación y edición del perfil de cada mascota con información básica del dueño.</t>
        </is>
      </c>
      <c r="D14" s="8" t="inlineStr">
        <is>
          <t>CRUD completo de perfiles de mascotas; validación de campos obligatorios; pruebas unitarias e integración pasadas.</t>
        </is>
      </c>
      <c r="E14" s="9" t="inlineStr">
        <is>
          <t>Por asignar</t>
        </is>
      </c>
      <c r="F14" s="10" t="inlineStr"/>
      <c r="G14" s="8" t="inlineStr"/>
      <c r="H14" s="10" t="inlineStr"/>
      <c r="I14" s="8" t="inlineStr"/>
      <c r="J14" s="10" t="inlineStr"/>
      <c r="K14" s="8" t="inlineStr"/>
      <c r="L14" s="10" t="inlineStr">
        <is>
          <t>🔄 Pendiente</t>
        </is>
      </c>
      <c r="M14" s="8" t="inlineStr"/>
    </row>
    <row r="15" ht="55" customHeight="1">
      <c r="A15" s="11" t="n">
        <v>5</v>
      </c>
      <c r="B15" s="12" t="inlineStr">
        <is>
          <t>HU-05
Publicación de servicios</t>
        </is>
      </c>
      <c r="C15" s="12" t="inlineStr">
        <is>
          <t>Formulario para que el proveedor publique nuevos servicios con tipo, descripción y precio.</t>
        </is>
      </c>
      <c r="D15" s="12" t="inlineStr">
        <is>
          <t>Servicio visible en el catálogo tras publicación; validación de campos; endpoints documentados; pruebas pasadas.</t>
        </is>
      </c>
      <c r="E15" s="9" t="inlineStr">
        <is>
          <t>Por asignar</t>
        </is>
      </c>
      <c r="F15" s="13" t="inlineStr"/>
      <c r="G15" s="12" t="inlineStr"/>
      <c r="H15" s="13" t="inlineStr"/>
      <c r="I15" s="12" t="inlineStr"/>
      <c r="J15" s="13" t="inlineStr"/>
      <c r="K15" s="12" t="inlineStr"/>
      <c r="L15" s="13" t="inlineStr">
        <is>
          <t>🔄 Pendiente</t>
        </is>
      </c>
      <c r="M15" s="12" t="inlineStr"/>
    </row>
    <row r="16" ht="55" customHeight="1">
      <c r="A16" s="11" t="n">
        <v>6</v>
      </c>
      <c r="B16" s="12" t="inlineStr">
        <is>
          <t>HU-04
Catálogo de servicios</t>
        </is>
      </c>
      <c r="C16" s="12" t="inlineStr">
        <is>
          <t>Página de listado y detalle de servicios disponibles con filtro por tipo.</t>
        </is>
      </c>
      <c r="D16" s="12" t="inlineStr">
        <is>
          <t>Listado paginado; filtro funcional; detalle de servicio completo; tiempos de carga aceptables; pruebas pasadas.</t>
        </is>
      </c>
      <c r="E16" s="9" t="inlineStr">
        <is>
          <t>Por asignar</t>
        </is>
      </c>
      <c r="F16" s="13" t="inlineStr"/>
      <c r="G16" s="12" t="inlineStr"/>
      <c r="H16" s="13" t="inlineStr"/>
      <c r="I16" s="12" t="inlineStr"/>
      <c r="J16" s="13" t="inlineStr"/>
      <c r="K16" s="12" t="inlineStr"/>
      <c r="L16" s="13" t="inlineStr">
        <is>
          <t>🔄 Pendiente</t>
        </is>
      </c>
      <c r="M16" s="12" t="inlineStr"/>
    </row>
    <row r="17" ht="55" customHeight="1">
      <c r="A17" s="11" t="n">
        <v>7</v>
      </c>
      <c r="B17" s="12" t="inlineStr">
        <is>
          <t>HU-06
Gestión de servicios (proveedor)</t>
        </is>
      </c>
      <c r="C17" s="12" t="inlineStr">
        <is>
          <t>Panel de administración para editar, activar o desactivar los servicios publicados por el proveedor.</t>
        </is>
      </c>
      <c r="D17" s="12" t="inlineStr">
        <is>
          <t>Edición y cambio de estado de servicios; endpoints documentados; pruebas unitarias e integración pasadas.</t>
        </is>
      </c>
      <c r="E17" s="9" t="inlineStr">
        <is>
          <t>Por asignar</t>
        </is>
      </c>
      <c r="F17" s="13" t="inlineStr"/>
      <c r="G17" s="12" t="inlineStr"/>
      <c r="H17" s="13" t="inlineStr"/>
      <c r="I17" s="12" t="inlineStr"/>
      <c r="J17" s="13" t="inlineStr"/>
      <c r="K17" s="12" t="inlineStr"/>
      <c r="L17" s="13" t="inlineStr">
        <is>
          <t>🔄 Pendiente</t>
        </is>
      </c>
      <c r="M17" s="12" t="inlineStr"/>
    </row>
    <row r="18" ht="55" customHeight="1">
      <c r="A18" s="11" t="n">
        <v>8</v>
      </c>
      <c r="B18" s="12" t="inlineStr">
        <is>
          <t>HU-09
Perfil profesional público</t>
        </is>
      </c>
      <c r="C18" s="12" t="inlineStr">
        <is>
          <t>Página pública con información completa del proveedor para que los clientes tomen decisiones informadas.</t>
        </is>
      </c>
      <c r="D18" s="12" t="inlineStr">
        <is>
          <t>Información completa y actualizada; reseñas visibles; diseño responsivo; pruebas pasadas.</t>
        </is>
      </c>
      <c r="E18" s="9" t="inlineStr">
        <is>
          <t>Por asignar</t>
        </is>
      </c>
      <c r="F18" s="13" t="inlineStr"/>
      <c r="G18" s="12" t="inlineStr"/>
      <c r="H18" s="13" t="inlineStr"/>
      <c r="I18" s="12" t="inlineStr"/>
      <c r="J18" s="13" t="inlineStr"/>
      <c r="K18" s="12" t="inlineStr"/>
      <c r="L18" s="13" t="inlineStr">
        <is>
          <t>🔄 Pendiente</t>
        </is>
      </c>
      <c r="M18" s="12" t="inlineStr"/>
    </row>
    <row r="19" ht="55" customHeight="1">
      <c r="A19" s="14" t="n">
        <v>9</v>
      </c>
      <c r="B19" s="15" t="inlineStr">
        <is>
          <t>HU-10
Solicitud de servicio (cliente)</t>
        </is>
      </c>
      <c r="C19" s="15" t="inlineStr">
        <is>
          <t>Formulario para solicitar un servicio especificando mascota, fecha y detalles adicionales.</t>
        </is>
      </c>
      <c r="D19" s="15" t="inlineStr">
        <is>
          <t>Solicitud registrada en DB; notificación vía Web Socket al proveedor; validación de campos; pruebas de integración pasadas.</t>
        </is>
      </c>
      <c r="E19" s="9" t="inlineStr">
        <is>
          <t>Por asignar</t>
        </is>
      </c>
      <c r="F19" s="16" t="inlineStr"/>
      <c r="G19" s="15" t="inlineStr"/>
      <c r="H19" s="16" t="inlineStr"/>
      <c r="I19" s="15" t="inlineStr"/>
      <c r="J19" s="16" t="inlineStr"/>
      <c r="K19" s="15" t="inlineStr"/>
      <c r="L19" s="16" t="inlineStr">
        <is>
          <t>🔄 Pendiente</t>
        </is>
      </c>
      <c r="M19" s="15" t="inlineStr"/>
    </row>
    <row r="20" ht="55" customHeight="1">
      <c r="A20" s="14" t="n">
        <v>10</v>
      </c>
      <c r="B20" s="15" t="inlineStr">
        <is>
          <t>HU-11
Gestión de solicitudes (proveedor)</t>
        </is>
      </c>
      <c r="C20" s="15" t="inlineStr">
        <is>
          <t>Panel para que el proveedor vea, acepte o rechace las solicitudes de servicio recibidas.</t>
        </is>
      </c>
      <c r="D20" s="15" t="inlineStr">
        <is>
          <t>Cambio de estado reflejado en tiempo real; notificación al cliente; endpoints documentados; pruebas pasadas.</t>
        </is>
      </c>
      <c r="E20" s="9" t="inlineStr">
        <is>
          <t>Por asignar</t>
        </is>
      </c>
      <c r="F20" s="16" t="inlineStr"/>
      <c r="G20" s="15" t="inlineStr"/>
      <c r="H20" s="16" t="inlineStr"/>
      <c r="I20" s="15" t="inlineStr"/>
      <c r="J20" s="16" t="inlineStr"/>
      <c r="K20" s="15" t="inlineStr"/>
      <c r="L20" s="16" t="inlineStr">
        <is>
          <t>🔄 Pendiente</t>
        </is>
      </c>
      <c r="M20" s="15" t="inlineStr"/>
    </row>
    <row r="21" ht="55" customHeight="1">
      <c r="A21" s="14" t="n">
        <v>11</v>
      </c>
      <c r="B21" s="15" t="inlineStr">
        <is>
          <t>HU-12
Reseñas y calificaciones</t>
        </is>
      </c>
      <c r="C21" s="15" t="inlineStr">
        <is>
          <t>Formulario para que el cliente califique y deje una reseña del servicio recibido.</t>
        </is>
      </c>
      <c r="D21" s="15" t="inlineStr">
        <is>
          <t>Reseña guardada y visible en perfil del proveedor; puntuación promedio calculada; pruebas unitarias e integración pasadas.</t>
        </is>
      </c>
      <c r="E21" s="9" t="inlineStr">
        <is>
          <t>Por asignar</t>
        </is>
      </c>
      <c r="F21" s="16" t="inlineStr"/>
      <c r="G21" s="15" t="inlineStr"/>
      <c r="H21" s="16" t="inlineStr"/>
      <c r="I21" s="15" t="inlineStr"/>
      <c r="J21" s="16" t="inlineStr"/>
      <c r="K21" s="15" t="inlineStr"/>
      <c r="L21" s="16" t="inlineStr">
        <is>
          <t>🔄 Pendiente</t>
        </is>
      </c>
      <c r="M21" s="15" t="inlineStr"/>
    </row>
    <row r="22" ht="55" customHeight="1">
      <c r="A22" s="14" t="n">
        <v>12</v>
      </c>
      <c r="B22" s="15" t="inlineStr">
        <is>
          <t>HU-14
Historial y estadísticas (proveedor)</t>
        </is>
      </c>
      <c r="C22" s="15" t="inlineStr">
        <is>
          <t>Sección con el historial completo de servicios prestados y métricas de desempeño del proveedor.</t>
        </is>
      </c>
      <c r="D22" s="15" t="inlineStr">
        <is>
          <t>Historial correcto y ordenado; estadísticas calculadas sin errores; endpoints documentados; pruebas pasadas.</t>
        </is>
      </c>
      <c r="E22" s="9" t="inlineStr">
        <is>
          <t>Por asignar</t>
        </is>
      </c>
      <c r="F22" s="16" t="inlineStr"/>
      <c r="G22" s="15" t="inlineStr"/>
      <c r="H22" s="16" t="inlineStr"/>
      <c r="I22" s="15" t="inlineStr"/>
      <c r="J22" s="16" t="inlineStr"/>
      <c r="K22" s="15" t="inlineStr"/>
      <c r="L22" s="16" t="inlineStr">
        <is>
          <t>🔄 Pendiente</t>
        </is>
      </c>
      <c r="M22" s="15" t="inlineStr"/>
    </row>
    <row r="23" ht="55" customHeight="1">
      <c r="A23" s="14" t="n">
        <v>13</v>
      </c>
      <c r="B23" s="15" t="inlineStr">
        <is>
          <t>HU-13
Historial de servicios (cliente)</t>
        </is>
      </c>
      <c r="C23" s="15" t="inlineStr">
        <is>
          <t>Sección con el historial completo de servicios solicitados por el cliente.</t>
        </is>
      </c>
      <c r="D23" s="15" t="inlineStr">
        <is>
          <t>Historial correcto; filtros funcionales; endpoints documentados; pruebas de integración pasadas.</t>
        </is>
      </c>
      <c r="E23" s="9" t="inlineStr">
        <is>
          <t>Por asignar</t>
        </is>
      </c>
      <c r="F23" s="16" t="inlineStr"/>
      <c r="G23" s="15" t="inlineStr"/>
      <c r="H23" s="16" t="inlineStr"/>
      <c r="I23" s="15" t="inlineStr"/>
      <c r="J23" s="16" t="inlineStr"/>
      <c r="K23" s="15" t="inlineStr"/>
      <c r="L23" s="16" t="inlineStr">
        <is>
          <t>🔄 Pendiente</t>
        </is>
      </c>
      <c r="M23" s="15" t="inlineStr"/>
    </row>
    <row r="24" ht="55" customHeight="1">
      <c r="A24" s="17" t="n">
        <v>14</v>
      </c>
      <c r="B24" s="18" t="inlineStr">
        <is>
          <t>HU-15
Dashboard administrativo</t>
        </is>
      </c>
      <c r="C24" s="18" t="inlineStr">
        <is>
          <t>Panel administrativo con métricas globales: total de usuarios, proveedores activos y servicios publicados.</t>
        </is>
      </c>
      <c r="D24" s="18" t="inlineStr">
        <is>
          <t>Métricas actualizadas en tiempo real; acceso restringido a administradores; diseño responsivo; pruebas pasadas.</t>
        </is>
      </c>
      <c r="E24" s="9" t="inlineStr">
        <is>
          <t>Por asignar</t>
        </is>
      </c>
      <c r="F24" s="19" t="inlineStr"/>
      <c r="G24" s="18" t="inlineStr"/>
      <c r="H24" s="19" t="inlineStr"/>
      <c r="I24" s="18" t="inlineStr"/>
      <c r="J24" s="19" t="inlineStr"/>
      <c r="K24" s="18" t="inlineStr"/>
      <c r="L24" s="19" t="inlineStr">
        <is>
          <t>🔄 Pendiente</t>
        </is>
      </c>
      <c r="M24" s="18" t="inlineStr"/>
    </row>
    <row r="25" ht="55" customHeight="1">
      <c r="A25" s="17" t="n">
        <v>15</v>
      </c>
      <c r="B25" s="18" t="inlineStr">
        <is>
          <t>HU-16
Gestión de usuarios (admin)</t>
        </is>
      </c>
      <c r="C25" s="18" t="inlineStr">
        <is>
          <t>Panel para listar todos los usuarios/proveedores y activar/desactivar cuentas.</t>
        </is>
      </c>
      <c r="D25" s="18" t="inlineStr">
        <is>
          <t>Listado completo; cambio de estado persistente en Firebase; acciones auditables; pruebas de integración pasadas.</t>
        </is>
      </c>
      <c r="E25" s="9" t="inlineStr">
        <is>
          <t>Por asignar</t>
        </is>
      </c>
      <c r="F25" s="19" t="inlineStr"/>
      <c r="G25" s="18" t="inlineStr"/>
      <c r="H25" s="19" t="inlineStr"/>
      <c r="I25" s="18" t="inlineStr"/>
      <c r="J25" s="19" t="inlineStr"/>
      <c r="K25" s="18" t="inlineStr"/>
      <c r="L25" s="19" t="inlineStr">
        <is>
          <t>🔄 Pendiente</t>
        </is>
      </c>
      <c r="M25" s="18" t="inlineStr"/>
    </row>
    <row r="26" ht="55" customHeight="1">
      <c r="A26" s="17" t="n">
        <v>16</v>
      </c>
      <c r="B26" s="18" t="inlineStr">
        <is>
          <t>HU-03
Recuperación de contraseña</t>
        </is>
      </c>
      <c r="C26" s="18" t="inlineStr">
        <is>
          <t>Envío de correo de recuperación de contraseña mediante Firebase Authentication.</t>
        </is>
      </c>
      <c r="D26" s="18" t="inlineStr">
        <is>
          <t>Correo enviado en &lt; 30 s; enlace funcional; manejo de errores; pruebas unitarias e integración pasadas.</t>
        </is>
      </c>
      <c r="E26" s="9" t="inlineStr">
        <is>
          <t>Por asignar</t>
        </is>
      </c>
      <c r="F26" s="19" t="inlineStr"/>
      <c r="G26" s="18" t="inlineStr"/>
      <c r="H26" s="19" t="inlineStr"/>
      <c r="I26" s="18" t="inlineStr"/>
      <c r="J26" s="19" t="inlineStr"/>
      <c r="K26" s="18" t="inlineStr"/>
      <c r="L26" s="19" t="inlineStr">
        <is>
          <t>🔄 Pendiente</t>
        </is>
      </c>
      <c r="M26" s="18" t="inlineStr"/>
    </row>
    <row r="28" ht="20" customHeight="1">
      <c r="A28" s="20" t="inlineStr">
        <is>
          <t>RESUMEN DE AUDITORÍAS</t>
        </is>
      </c>
      <c r="F28" s="21" t="inlineStr">
        <is>
          <t>Total entregables:</t>
        </is>
      </c>
      <c r="G28" s="21">
        <f>COUNTA(B11:B26)</f>
        <v/>
      </c>
      <c r="H28" s="21" t="inlineStr">
        <is>
          <t>Completados:</t>
        </is>
      </c>
      <c r="I28" s="21">
        <f>COUNTIF(L11:L26,"✅ Completada")</f>
        <v/>
      </c>
      <c r="J28" s="21" t="inlineStr">
        <is>
          <t>Pendientes:</t>
        </is>
      </c>
      <c r="K28" s="21">
        <f>COUNTIF(L11:L26,"🔄 Pendiente")</f>
        <v/>
      </c>
      <c r="L28" s="21" t="inlineStr">
        <is>
          <t>No conformes:</t>
        </is>
      </c>
      <c r="M28" s="21">
        <f>COUNTIF(L11:L26,"❌ No cumple")</f>
        <v/>
      </c>
    </row>
    <row r="30" ht="16" customHeight="1">
      <c r="A30" s="22" t="inlineStr">
        <is>
          <t>LEYENDA DE ESTADOS   |   ✅ Completada   |   ⚠️ En revisión   |   ❌ No cumple con especificaciones   |   🔄 Pendiente</t>
        </is>
      </c>
    </row>
    <row r="31" ht="16" customHeight="1">
      <c r="A31" s="23" t="inlineStr">
        <is>
          <t>Sprint 1 (15 Mar–12 Abr)</t>
        </is>
      </c>
      <c r="D31" s="24" t="inlineStr">
        <is>
          <t>Sprint 2 (10 Abr–24 Abr)</t>
        </is>
      </c>
      <c r="G31" s="25" t="inlineStr">
        <is>
          <t>Sprint 3 (24 Abr–14 May)</t>
        </is>
      </c>
      <c r="J31" s="26" t="inlineStr">
        <is>
          <t>Sprint 4 (14 May–25 May)</t>
        </is>
      </c>
    </row>
  </sheetData>
  <mergeCells count="28">
    <mergeCell ref="C3:M3"/>
    <mergeCell ref="C6:M6"/>
    <mergeCell ref="C5:M5"/>
    <mergeCell ref="H9:I9"/>
    <mergeCell ref="A6:B6"/>
    <mergeCell ref="J9:K9"/>
    <mergeCell ref="C9:C10"/>
    <mergeCell ref="C4:M4"/>
    <mergeCell ref="E9:E10"/>
    <mergeCell ref="A7:B7"/>
    <mergeCell ref="J31:L31"/>
    <mergeCell ref="A30:M30"/>
    <mergeCell ref="A3:B3"/>
    <mergeCell ref="B9:B10"/>
    <mergeCell ref="D9:D10"/>
    <mergeCell ref="A1:M1"/>
    <mergeCell ref="L9:L10"/>
    <mergeCell ref="A31:C31"/>
    <mergeCell ref="G31:I31"/>
    <mergeCell ref="A5:B5"/>
    <mergeCell ref="F9:G9"/>
    <mergeCell ref="A4:B4"/>
    <mergeCell ref="A9:A10"/>
    <mergeCell ref="C7:M7"/>
    <mergeCell ref="M9:M10"/>
    <mergeCell ref="A28:E28"/>
    <mergeCell ref="D31:F31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18" customHeight="1">
      <c r="A1" s="27" t="inlineStr">
        <is>
          <t>INSTRUCCIONES DE USO</t>
        </is>
      </c>
    </row>
    <row r="2" ht="18" customHeight="1">
      <c r="A2" s="28" t="inlineStr"/>
      <c r="B2" s="28" t="inlineStr"/>
    </row>
    <row r="3" ht="18" customHeight="1">
      <c r="A3" s="29" t="inlineStr">
        <is>
          <t>Campo</t>
        </is>
      </c>
      <c r="B3" s="30" t="inlineStr">
        <is>
          <t>Descripción</t>
        </is>
      </c>
    </row>
    <row r="4" ht="18" customHeight="1">
      <c r="A4" s="28" t="inlineStr">
        <is>
          <t>No.</t>
        </is>
      </c>
      <c r="B4" s="28" t="inlineStr">
        <is>
          <t>Número secuencial de cada entregable auditado.</t>
        </is>
      </c>
    </row>
    <row r="5" ht="18" customHeight="1">
      <c r="A5" s="28" t="inlineStr">
        <is>
          <t>Entregable</t>
        </is>
      </c>
      <c r="B5" s="28" t="inlineStr">
        <is>
          <t>ID de la Historia de Usuario y nombre del entregable funcional.</t>
        </is>
      </c>
    </row>
    <row r="6" ht="18" customHeight="1">
      <c r="A6" s="28" t="inlineStr">
        <is>
          <t>Descripción</t>
        </is>
      </c>
      <c r="B6" s="28" t="inlineStr">
        <is>
          <t>Breve explicación de qué incluye el entregable.</t>
        </is>
      </c>
    </row>
    <row r="7" ht="18" customHeight="1">
      <c r="A7" s="28" t="inlineStr">
        <is>
          <t>Criterios de Aceptación</t>
        </is>
      </c>
      <c r="B7" s="28" t="inlineStr">
        <is>
          <t>Condiciones específicas que el entregable debe cumplir para ser aprobado (derivadas del Definition of Done y las historias de usuario).</t>
        </is>
      </c>
    </row>
    <row r="8" ht="18" customHeight="1">
      <c r="A8" s="28" t="inlineStr">
        <is>
          <t>Nombre del Auditor</t>
        </is>
      </c>
      <c r="B8" s="28" t="inlineStr">
        <is>
          <t>Integrante del equipo responsable de revisar este entregable (celdas en amarillo = requieren ser completadas).</t>
        </is>
      </c>
    </row>
    <row r="9" ht="18" customHeight="1">
      <c r="A9" s="28" t="inlineStr">
        <is>
          <t>Fecha 1ª / 2ª / 3ª Auditoría</t>
        </is>
      </c>
      <c r="B9" s="28" t="inlineStr">
        <is>
          <t>Fecha en que se realizó cada revisión. Formato: DD/MM/AAAA.</t>
        </is>
      </c>
    </row>
    <row r="10" ht="18" customHeight="1">
      <c r="A10" s="28" t="inlineStr">
        <is>
          <t>Conclusiones</t>
        </is>
      </c>
      <c r="B10" s="28" t="inlineStr">
        <is>
          <t>Resultado de la auditoría: Completada | Terminada sin probar | No cumple con el cronograma | No se ha completado la entrega | No cumple con las especificaciones.</t>
        </is>
      </c>
    </row>
    <row r="11" ht="18" customHeight="1">
      <c r="A11" s="28" t="inlineStr">
        <is>
          <t>Estado Final</t>
        </is>
      </c>
      <c r="B11" s="28" t="inlineStr">
        <is>
          <t>Estado actualizado del entregable tras la última auditoría. Usar los estados del leyenda.</t>
        </is>
      </c>
    </row>
    <row r="12" ht="18" customHeight="1">
      <c r="A12" s="28" t="inlineStr">
        <is>
          <t>Observaciones / Lecciones Aprendidas</t>
        </is>
      </c>
      <c r="B12" s="28" t="inlineStr">
        <is>
          <t>Notas adicionales, acciones correctivas tomadas, o lecciones aprendidas para futuros sprints.</t>
        </is>
      </c>
    </row>
    <row r="13" ht="18" customHeight="1">
      <c r="A13" s="28" t="inlineStr"/>
      <c r="B13" s="28" t="inlineStr"/>
    </row>
    <row r="14" ht="18" customHeight="1">
      <c r="A14" s="27" t="inlineStr">
        <is>
          <t>OBJETIVOS DE LA AUDITORÍA</t>
        </is>
      </c>
    </row>
    <row r="15" ht="18" customHeight="1">
      <c r="A15" s="28" t="inlineStr"/>
      <c r="B15" s="28" t="inlineStr"/>
    </row>
    <row r="16" ht="18" customHeight="1">
      <c r="A16" s="28" t="inlineStr">
        <is>
          <t>1</t>
        </is>
      </c>
      <c r="B16" s="28" t="inlineStr">
        <is>
          <t>Identificar todas las mejores prácticas empleadas durante el desarrollo.</t>
        </is>
      </c>
    </row>
    <row r="17" ht="18" customHeight="1">
      <c r="A17" s="28" t="inlineStr">
        <is>
          <t>2</t>
        </is>
      </c>
      <c r="B17" s="28" t="inlineStr">
        <is>
          <t>Identificar diferencias y anomalías respecto a los estándares acordados.</t>
        </is>
      </c>
    </row>
    <row r="18" ht="18" customHeight="1">
      <c r="A18" s="28" t="inlineStr">
        <is>
          <t>3</t>
        </is>
      </c>
      <c r="B18" s="28" t="inlineStr">
        <is>
          <t>Compartir buenas prácticas con el equipo y documentarlas.</t>
        </is>
      </c>
    </row>
    <row r="19" ht="18" customHeight="1">
      <c r="A19" s="28" t="inlineStr">
        <is>
          <t>4</t>
        </is>
      </c>
      <c r="B19" s="28" t="inlineStr">
        <is>
          <t>Ofrecer asesoramiento positivo y proactivo para mejorar la productividad.</t>
        </is>
      </c>
    </row>
    <row r="20" ht="18" customHeight="1">
      <c r="A20" s="28" t="inlineStr">
        <is>
          <t>5</t>
        </is>
      </c>
      <c r="B20" s="28" t="inlineStr">
        <is>
          <t>Registrar las contribuciones en la base de lecciones aprendidas del proyecto.</t>
        </is>
      </c>
    </row>
  </sheetData>
  <mergeCells count="2"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2026-05-13T19:25:53Z</dcterms:created>
  <dcterms:modified xmlns:dcterms="http://purl.org/dc/terms/" xmlns:xsi="http://www.w3.org/2001/XMLSchema-instance" xsi:type="dcterms:W3CDTF">2026-05-13T19:25:53Z</dcterms:modified>
</cp:coreProperties>
</file>