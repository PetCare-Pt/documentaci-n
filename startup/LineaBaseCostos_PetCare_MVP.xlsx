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M_Dashboard" sheetId="1" state="visible" r:id="rId3"/>
    <sheet name="TOTAL" sheetId="2" state="visible" r:id="rId4"/>
    <sheet name="Costos_Directos" sheetId="3" state="visible" r:id="rId5"/>
    <sheet name="Costos_Indirectos" sheetId="4" state="visible" r:id="rId6"/>
    <sheet name="Reserva_Gestió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<sst xmlns="http://schemas.openxmlformats.org/spreadsheetml/2006/main" count="345" uniqueCount="133">
  <si>
    <t xml:space="preserve">LÍNEA BASE DE COSTOS – EARNED VALUE MANAGEMENT (EVM)</t>
  </si>
  <si>
    <t xml:space="preserve">Proyecto: PetCare MVP  |  UPTC – Gerencia Informática 2026-I  |  Moneda: COP (Peso Colombiano)</t>
  </si>
  <si>
    <t xml:space="preserve">ID</t>
  </si>
  <si>
    <t xml:space="preserve">WBS (EDT)</t>
  </si>
  <si>
    <t xml:space="preserve">Historia de Usuario / Actividad</t>
  </si>
  <si>
    <t xml:space="preserve">Sprint</t>
  </si>
  <si>
    <t xml:space="preserve">Tipo Costo</t>
  </si>
  <si>
    <t xml:space="preserve">Responsable(s)</t>
  </si>
  <si>
    <t xml:space="preserve">Hrs Plan</t>
  </si>
  <si>
    <t xml:space="preserve">Hrs Real</t>
  </si>
  <si>
    <t xml:space="preserve">PV – Valor Planeado
(Planned Value)</t>
  </si>
  <si>
    <t xml:space="preserve">AC – Costo Real
(Actual Cost)</t>
  </si>
  <si>
    <t xml:space="preserve">EV – Valor Ganado
(Earned Value)</t>
  </si>
  <si>
    <t xml:space="preserve">CV = EV - AC
(Variación Costo)</t>
  </si>
  <si>
    <t xml:space="preserve">CPI = EV/AC
(Índice Desempeño)</t>
  </si>
  <si>
    <t xml:space="preserve">SV = EV - PV
(Variación Cronograma)</t>
  </si>
  <si>
    <t xml:space="preserve">Fecha Inicio</t>
  </si>
  <si>
    <t xml:space="preserve">Fecha Fin</t>
  </si>
  <si>
    <t xml:space="preserve">1</t>
  </si>
  <si>
    <t xml:space="preserve">1.1</t>
  </si>
  <si>
    <t xml:space="preserve">HU-01 Registro de Usuario</t>
  </si>
  <si>
    <t xml:space="preserve">S1</t>
  </si>
  <si>
    <t xml:space="preserve">Mano de Obra / Indirectos</t>
  </si>
  <si>
    <t xml:space="preserve">Harold A., Andres D., Juan F., Anthony G.</t>
  </si>
  <si>
    <t xml:space="preserve">2026-02-02</t>
  </si>
  <si>
    <t xml:space="preserve">2026-02-15</t>
  </si>
  <si>
    <t xml:space="preserve">2</t>
  </si>
  <si>
    <t xml:space="preserve">1.2</t>
  </si>
  <si>
    <t xml:space="preserve">HU-02 Inicio de Sesión</t>
  </si>
  <si>
    <t xml:space="preserve">Andres D., Juan F., Anthony G.</t>
  </si>
  <si>
    <t xml:space="preserve">3</t>
  </si>
  <si>
    <t xml:space="preserve">1.3</t>
  </si>
  <si>
    <t xml:space="preserve">HU-08 Perfil Profesional</t>
  </si>
  <si>
    <t xml:space="preserve">2026-02-16</t>
  </si>
  <si>
    <t xml:space="preserve">2026-03-01</t>
  </si>
  <si>
    <t xml:space="preserve">4</t>
  </si>
  <si>
    <t xml:space="preserve">1.4</t>
  </si>
  <si>
    <t xml:space="preserve">HU-07 Perfil de Mascota</t>
  </si>
  <si>
    <t xml:space="preserve">5</t>
  </si>
  <si>
    <t xml:space="preserve">2.1</t>
  </si>
  <si>
    <t xml:space="preserve">HU-05 Crear Servicio</t>
  </si>
  <si>
    <t xml:space="preserve">S2</t>
  </si>
  <si>
    <t xml:space="preserve">2026-03-02</t>
  </si>
  <si>
    <t xml:space="preserve">2026-03-15</t>
  </si>
  <si>
    <t xml:space="preserve">6</t>
  </si>
  <si>
    <t xml:space="preserve">2.2</t>
  </si>
  <si>
    <t xml:space="preserve">HU-04 Visualizar Servicios</t>
  </si>
  <si>
    <t xml:space="preserve">Harold A., Juan F., Anthony G.</t>
  </si>
  <si>
    <t xml:space="preserve">7</t>
  </si>
  <si>
    <t xml:space="preserve">2.3</t>
  </si>
  <si>
    <t xml:space="preserve">HU-06 Administrar Servicios</t>
  </si>
  <si>
    <t xml:space="preserve">2026-03-16</t>
  </si>
  <si>
    <t xml:space="preserve">2026-03-29</t>
  </si>
  <si>
    <t xml:space="preserve">8</t>
  </si>
  <si>
    <t xml:space="preserve">2.4</t>
  </si>
  <si>
    <t xml:space="preserve">HU-09 Búsqueda Perfiles Prof.</t>
  </si>
  <si>
    <t xml:space="preserve">Harold A., Andres D., Anthony G.</t>
  </si>
  <si>
    <t xml:space="preserve">9</t>
  </si>
  <si>
    <t xml:space="preserve">3.1</t>
  </si>
  <si>
    <t xml:space="preserve">HU-10 Solicitud de Servicio</t>
  </si>
  <si>
    <t xml:space="preserve">S3</t>
  </si>
  <si>
    <t xml:space="preserve">2026-03-30</t>
  </si>
  <si>
    <t xml:space="preserve">2026-04-12</t>
  </si>
  <si>
    <t xml:space="preserve">10</t>
  </si>
  <si>
    <t xml:space="preserve">3.2</t>
  </si>
  <si>
    <t xml:space="preserve">HU-11 Aceptación de Solicitudes</t>
  </si>
  <si>
    <t xml:space="preserve">11</t>
  </si>
  <si>
    <t xml:space="preserve">3.3</t>
  </si>
  <si>
    <t xml:space="preserve">HU-12 Calificación y Reseñas</t>
  </si>
  <si>
    <t xml:space="preserve">2026-04-13</t>
  </si>
  <si>
    <t xml:space="preserve">2026-04-26</t>
  </si>
  <si>
    <t xml:space="preserve">12</t>
  </si>
  <si>
    <t xml:space="preserve">3.4</t>
  </si>
  <si>
    <t xml:space="preserve">HU-14 Historial Proveedor</t>
  </si>
  <si>
    <t xml:space="preserve">13</t>
  </si>
  <si>
    <t xml:space="preserve">3.5</t>
  </si>
  <si>
    <t xml:space="preserve">HU-13 Historial Solicitados</t>
  </si>
  <si>
    <t xml:space="preserve">14</t>
  </si>
  <si>
    <t xml:space="preserve">4.1</t>
  </si>
  <si>
    <t xml:space="preserve">HU-15 Dashboard Administrativo</t>
  </si>
  <si>
    <t xml:space="preserve">S4</t>
  </si>
  <si>
    <t xml:space="preserve">2026-04-27</t>
  </si>
  <si>
    <t xml:space="preserve">2026-05-04</t>
  </si>
  <si>
    <t xml:space="preserve">15</t>
  </si>
  <si>
    <t xml:space="preserve">4.2</t>
  </si>
  <si>
    <t xml:space="preserve">HU-16 Gestión de Usuarios Admin</t>
  </si>
  <si>
    <t xml:space="preserve">16</t>
  </si>
  <si>
    <t xml:space="preserve">4.3</t>
  </si>
  <si>
    <t xml:space="preserve">HU-03 Recuperación Contraseña</t>
  </si>
  <si>
    <t xml:space="preserve">TOTALES ACUMULADOS DEL PROYECTO</t>
  </si>
  <si>
    <t xml:space="preserve">RESUMEN POR SPRINT</t>
  </si>
  <si>
    <t xml:space="preserve">PV Acum. (COP)</t>
  </si>
  <si>
    <t xml:space="preserve">AC Acum. (COP)</t>
  </si>
  <si>
    <t xml:space="preserve">EV Acum. (COP)</t>
  </si>
  <si>
    <t xml:space="preserve">CV (COP)</t>
  </si>
  <si>
    <t xml:space="preserve">CPI</t>
  </si>
  <si>
    <t xml:space="preserve">Estado</t>
  </si>
  <si>
    <t xml:space="preserve">Sprint 1</t>
  </si>
  <si>
    <t xml:space="preserve">Ver CPI →</t>
  </si>
  <si>
    <t xml:space="preserve">Sprint 2</t>
  </si>
  <si>
    <t xml:space="preserve">Sprint 3</t>
  </si>
  <si>
    <t xml:space="preserve">Sprint 4</t>
  </si>
  <si>
    <t xml:space="preserve">LEYENDA EVM  |  ✅ CPI ≥ 0.9 = Bajo presupuesto / En presupuesto   ⚠ CPI 0.8-0.9 = Alerta   🔴 CPI &lt; 0.8 = Corrección urgente</t>
  </si>
  <si>
    <t xml:space="preserve">LÍNEA BASE DE COSTOS</t>
  </si>
  <si>
    <t xml:space="preserve">CUANTIFICACIÓN DE COSTOS TOTALES – PetCare MVP</t>
  </si>
  <si>
    <t xml:space="preserve">COSTO DE OPORTUNIDAD</t>
  </si>
  <si>
    <t xml:space="preserve">COSTOS HUNDIDOS</t>
  </si>
  <si>
    <t xml:space="preserve">COSTOS VARIABLES</t>
  </si>
  <si>
    <t xml:space="preserve">COSTOS FIJOS</t>
  </si>
  <si>
    <t xml:space="preserve">COSTOS DIRECTOS</t>
  </si>
  <si>
    <t xml:space="preserve">COSTOS INDIRECTOS</t>
  </si>
  <si>
    <t xml:space="preserve">COSTOS CALIDAD</t>
  </si>
  <si>
    <t xml:space="preserve">TOTAL COSTOS DE RECURSOS</t>
  </si>
  <si>
    <t xml:space="preserve">Nota: Presupuesto total del proyecto = $9,820,000 COP (incluye reserva de gestión 50% sobre mano de obra)</t>
  </si>
  <si>
    <t xml:space="preserve">LÍNEA BASE DE COSTOS – COSTOS DIRECTOS (MANO DE OBRA)</t>
  </si>
  <si>
    <t xml:space="preserve">PROYECTO: PetCare MVP  |  Costo/hora: $12,500 COP  |  Fuente: Salario promedio Dev Junior Colombia</t>
  </si>
  <si>
    <t xml:space="preserve">WBS</t>
  </si>
  <si>
    <t xml:space="preserve">Historia de Usuario</t>
  </si>
  <si>
    <t xml:space="preserve">Horas Planeadas</t>
  </si>
  <si>
    <t xml:space="preserve">Costo/Hora (COP)</t>
  </si>
  <si>
    <t xml:space="preserve">Costo M.O. Planeado (COP)</t>
  </si>
  <si>
    <t xml:space="preserve">HU-11 Aceptación Solicitudes</t>
  </si>
  <si>
    <t xml:space="preserve">HU-15 Dashboard Admin</t>
  </si>
  <si>
    <t xml:space="preserve">HU-16 Gestión Usuarios Admin</t>
  </si>
  <si>
    <t xml:space="preserve">TOTAL</t>
  </si>
  <si>
    <t xml:space="preserve">LÍNEA BASE DE COSTOS – COSTOS INDIRECTOS (ALQUILER EQUIPOS)</t>
  </si>
  <si>
    <t xml:space="preserve">PROYECTO: PetCare MVP  |  Costo/hora alquiler equipo: $6,250 COP  |  Base: $1,500,000/mes ÷ 240 hrs</t>
  </si>
  <si>
    <t xml:space="preserve">Costo/Hora Alquiler (COP)</t>
  </si>
  <si>
    <t xml:space="preserve">Costo Indirecto Planeado (COP)</t>
  </si>
  <si>
    <t xml:space="preserve">LÍNEA BASE DE COSTOS – RESERVA DE GESTIÓN (10% por WBS)</t>
  </si>
  <si>
    <t xml:space="preserve">PROYECTO: PetCare MVP  |  Reserva = 10% del Costo Base (Mano de Obra)</t>
  </si>
  <si>
    <t xml:space="preserve">Costo Base M.O. (COP)</t>
  </si>
  <si>
    <t xml:space="preserve">Reserva Gestión 10% (COP)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</si>
</sst>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FF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F2F2F2"/>
      </patternFill>
    </fill>
    <fill>
      <patternFill patternType="solid">
        <fgColor rgb="FFC6EFCE"/>
        <bgColor rgb="FFDEEAF1"/>
      </patternFill>
    </fill>
    <fill>
      <patternFill patternType="solid">
        <fgColor rgb="FFFFC7CE"/>
        <bgColor rgb="FFFCE4D6"/>
      </patternFill>
    </fill>
    <fill>
      <patternFill patternType="solid">
        <fgColor rgb="FFBDD7EE"/>
        <bgColor rgb="FFC6EFCE"/>
      </patternFill>
    </fill>
    <fill>
      <patternFill patternType="solid">
        <fgColor rgb="FFFCE4D6"/>
        <bgColor rgb="FFF2F2F2"/>
      </patternFill>
    </fill>
    <fill>
      <patternFill patternType="solid">
        <fgColor rgb="FFFFD966"/>
        <bgColor rgb="FFFFC7CE"/>
      </patternFill>
    </fill>
    <fill>
      <patternFill patternType="solid">
        <fgColor rgb="FFF2F2F2"/>
        <bgColor rgb="FFDEEAF1"/>
      </patternFill>
    </fill>
    <fill>
      <patternFill patternType="solid">
        <fgColor rgb="FF595959"/>
        <bgColor rgb="FF375623"/>
      </patternFill>
    </fill>
    <fill>
      <patternFill patternType="solid">
        <fgColor rgb="FFFFFFFF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2E75B6"/>
      <rgbColor rgb="FF33CCCC"/>
      <rgbColor rgb="FF99CC00"/>
      <rgbColor rgb="FFFFD96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2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32"/>
    <col collapsed="false" customWidth="true" hidden="false" outlineLevel="0" max="8" min="7" style="0" width="8"/>
    <col collapsed="false" customWidth="true" hidden="false" outlineLevel="0" max="12" min="9" style="0" width="16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6" min="15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43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27.75" hidden="false" customHeight="true" outlineLevel="0" collapsed="false">
      <c r="A4" s="4" t="s">
        <v>18</v>
      </c>
      <c r="B4" s="4" t="s">
        <v>19</v>
      </c>
      <c r="C4" s="5" t="s">
        <v>20</v>
      </c>
      <c r="D4" s="4" t="s">
        <v>21</v>
      </c>
      <c r="E4" s="5" t="s">
        <v>22</v>
      </c>
      <c r="F4" s="5" t="s">
        <v>23</v>
      </c>
      <c r="G4" s="4" t="n">
        <v>19</v>
      </c>
      <c r="H4" s="4" t="n">
        <v>18</v>
      </c>
      <c r="I4" s="6" t="n">
        <v>380000</v>
      </c>
      <c r="J4" s="6" t="n">
        <v>343750</v>
      </c>
      <c r="K4" s="6" t="n">
        <v>360000</v>
      </c>
      <c r="L4" s="7" t="n">
        <v>16250</v>
      </c>
      <c r="M4" s="8" t="n">
        <v>1.047</v>
      </c>
      <c r="N4" s="6" t="n">
        <v>-20000</v>
      </c>
      <c r="O4" s="4" t="s">
        <v>24</v>
      </c>
      <c r="P4" s="4" t="s">
        <v>25</v>
      </c>
    </row>
    <row r="5" customFormat="false" ht="27.75" hidden="false" customHeight="true" outlineLevel="0" collapsed="false">
      <c r="A5" s="4" t="s">
        <v>26</v>
      </c>
      <c r="B5" s="4" t="s">
        <v>27</v>
      </c>
      <c r="C5" s="5" t="s">
        <v>28</v>
      </c>
      <c r="D5" s="4" t="s">
        <v>21</v>
      </c>
      <c r="E5" s="5" t="s">
        <v>22</v>
      </c>
      <c r="F5" s="5" t="s">
        <v>29</v>
      </c>
      <c r="G5" s="4" t="n">
        <v>26</v>
      </c>
      <c r="H5" s="4" t="n">
        <v>20</v>
      </c>
      <c r="I5" s="6" t="n">
        <v>520000</v>
      </c>
      <c r="J5" s="6" t="n">
        <v>412500</v>
      </c>
      <c r="K5" s="6" t="n">
        <v>400000</v>
      </c>
      <c r="L5" s="9" t="n">
        <v>-12500</v>
      </c>
      <c r="M5" s="8" t="n">
        <v>0.97</v>
      </c>
      <c r="N5" s="6" t="n">
        <v>-120000</v>
      </c>
      <c r="O5" s="4" t="s">
        <v>24</v>
      </c>
      <c r="P5" s="4" t="s">
        <v>25</v>
      </c>
    </row>
    <row r="6" customFormat="false" ht="27.75" hidden="false" customHeight="true" outlineLevel="0" collapsed="false">
      <c r="A6" s="4" t="s">
        <v>30</v>
      </c>
      <c r="B6" s="4" t="s">
        <v>31</v>
      </c>
      <c r="C6" s="5" t="s">
        <v>32</v>
      </c>
      <c r="D6" s="4" t="s">
        <v>21</v>
      </c>
      <c r="E6" s="5" t="s">
        <v>22</v>
      </c>
      <c r="F6" s="5" t="s">
        <v>23</v>
      </c>
      <c r="G6" s="4" t="n">
        <v>45</v>
      </c>
      <c r="H6" s="4" t="n">
        <v>42</v>
      </c>
      <c r="I6" s="6" t="n">
        <v>900000</v>
      </c>
      <c r="J6" s="6" t="n">
        <v>806250</v>
      </c>
      <c r="K6" s="6" t="n">
        <v>840000</v>
      </c>
      <c r="L6" s="7" t="n">
        <v>33750</v>
      </c>
      <c r="M6" s="8" t="n">
        <v>1.042</v>
      </c>
      <c r="N6" s="6" t="n">
        <v>-60000</v>
      </c>
      <c r="O6" s="4" t="s">
        <v>33</v>
      </c>
      <c r="P6" s="4" t="s">
        <v>34</v>
      </c>
    </row>
    <row r="7" customFormat="false" ht="27.75" hidden="false" customHeight="true" outlineLevel="0" collapsed="false">
      <c r="A7" s="4" t="s">
        <v>35</v>
      </c>
      <c r="B7" s="4" t="s">
        <v>36</v>
      </c>
      <c r="C7" s="5" t="s">
        <v>37</v>
      </c>
      <c r="D7" s="4" t="s">
        <v>21</v>
      </c>
      <c r="E7" s="5" t="s">
        <v>22</v>
      </c>
      <c r="F7" s="5" t="s">
        <v>23</v>
      </c>
      <c r="G7" s="4" t="n">
        <v>45</v>
      </c>
      <c r="H7" s="4" t="n">
        <v>43</v>
      </c>
      <c r="I7" s="6" t="n">
        <v>900000</v>
      </c>
      <c r="J7" s="6" t="n">
        <v>818750</v>
      </c>
      <c r="K7" s="6" t="n">
        <v>860000</v>
      </c>
      <c r="L7" s="7" t="n">
        <v>41250</v>
      </c>
      <c r="M7" s="8" t="n">
        <v>1.05</v>
      </c>
      <c r="N7" s="6" t="n">
        <v>-40000</v>
      </c>
      <c r="O7" s="4" t="s">
        <v>33</v>
      </c>
      <c r="P7" s="4" t="s">
        <v>34</v>
      </c>
    </row>
    <row r="8" customFormat="false" ht="27.75" hidden="false" customHeight="true" outlineLevel="0" collapsed="false">
      <c r="A8" s="10" t="s">
        <v>38</v>
      </c>
      <c r="B8" s="10" t="s">
        <v>39</v>
      </c>
      <c r="C8" s="11" t="s">
        <v>40</v>
      </c>
      <c r="D8" s="10" t="s">
        <v>41</v>
      </c>
      <c r="E8" s="11" t="s">
        <v>22</v>
      </c>
      <c r="F8" s="11" t="s">
        <v>23</v>
      </c>
      <c r="G8" s="10" t="n">
        <v>31</v>
      </c>
      <c r="H8" s="10" t="n">
        <v>30</v>
      </c>
      <c r="I8" s="12" t="n">
        <v>620000</v>
      </c>
      <c r="J8" s="12" t="n">
        <v>568750</v>
      </c>
      <c r="K8" s="12" t="n">
        <v>600000</v>
      </c>
      <c r="L8" s="7" t="n">
        <v>31250</v>
      </c>
      <c r="M8" s="8" t="n">
        <v>1.055</v>
      </c>
      <c r="N8" s="12" t="n">
        <v>-20000</v>
      </c>
      <c r="O8" s="10" t="s">
        <v>42</v>
      </c>
      <c r="P8" s="10" t="s">
        <v>43</v>
      </c>
    </row>
    <row r="9" customFormat="false" ht="27.75" hidden="false" customHeight="true" outlineLevel="0" collapsed="false">
      <c r="A9" s="10" t="s">
        <v>44</v>
      </c>
      <c r="B9" s="10" t="s">
        <v>45</v>
      </c>
      <c r="C9" s="11" t="s">
        <v>46</v>
      </c>
      <c r="D9" s="10" t="s">
        <v>41</v>
      </c>
      <c r="E9" s="11" t="s">
        <v>22</v>
      </c>
      <c r="F9" s="11" t="s">
        <v>47</v>
      </c>
      <c r="G9" s="10" t="n">
        <v>29</v>
      </c>
      <c r="H9" s="10" t="n">
        <v>26</v>
      </c>
      <c r="I9" s="12" t="n">
        <v>580000</v>
      </c>
      <c r="J9" s="12" t="n">
        <v>506250</v>
      </c>
      <c r="K9" s="12" t="n">
        <v>520000</v>
      </c>
      <c r="L9" s="7" t="n">
        <v>13750</v>
      </c>
      <c r="M9" s="8" t="n">
        <v>1.027</v>
      </c>
      <c r="N9" s="12" t="n">
        <v>-60000</v>
      </c>
      <c r="O9" s="10" t="s">
        <v>42</v>
      </c>
      <c r="P9" s="10" t="s">
        <v>43</v>
      </c>
    </row>
    <row r="10" customFormat="false" ht="27.75" hidden="false" customHeight="true" outlineLevel="0" collapsed="false">
      <c r="A10" s="10" t="s">
        <v>48</v>
      </c>
      <c r="B10" s="10" t="s">
        <v>49</v>
      </c>
      <c r="C10" s="11" t="s">
        <v>50</v>
      </c>
      <c r="D10" s="10" t="s">
        <v>41</v>
      </c>
      <c r="E10" s="11" t="s">
        <v>22</v>
      </c>
      <c r="F10" s="11" t="s">
        <v>23</v>
      </c>
      <c r="G10" s="10" t="n">
        <v>33</v>
      </c>
      <c r="H10" s="10" t="n">
        <v>35</v>
      </c>
      <c r="I10" s="12" t="n">
        <v>660000</v>
      </c>
      <c r="J10" s="12" t="n">
        <v>643750</v>
      </c>
      <c r="K10" s="12" t="n">
        <v>660000</v>
      </c>
      <c r="L10" s="7" t="n">
        <v>16250</v>
      </c>
      <c r="M10" s="8" t="n">
        <v>1.025</v>
      </c>
      <c r="N10" s="12" t="n">
        <v>0</v>
      </c>
      <c r="O10" s="10" t="s">
        <v>51</v>
      </c>
      <c r="P10" s="10" t="s">
        <v>52</v>
      </c>
    </row>
    <row r="11" customFormat="false" ht="27.75" hidden="false" customHeight="true" outlineLevel="0" collapsed="false">
      <c r="A11" s="10" t="s">
        <v>53</v>
      </c>
      <c r="B11" s="10" t="s">
        <v>54</v>
      </c>
      <c r="C11" s="11" t="s">
        <v>55</v>
      </c>
      <c r="D11" s="10" t="s">
        <v>41</v>
      </c>
      <c r="E11" s="11" t="s">
        <v>22</v>
      </c>
      <c r="F11" s="11" t="s">
        <v>56</v>
      </c>
      <c r="G11" s="10" t="n">
        <v>29</v>
      </c>
      <c r="H11" s="10" t="n">
        <v>29</v>
      </c>
      <c r="I11" s="12" t="n">
        <v>580000</v>
      </c>
      <c r="J11" s="12" t="n">
        <v>543750</v>
      </c>
      <c r="K11" s="12" t="n">
        <v>580000</v>
      </c>
      <c r="L11" s="7" t="n">
        <v>36250</v>
      </c>
      <c r="M11" s="8" t="n">
        <v>1.067</v>
      </c>
      <c r="N11" s="12" t="n">
        <v>0</v>
      </c>
      <c r="O11" s="10" t="s">
        <v>51</v>
      </c>
      <c r="P11" s="10" t="s">
        <v>52</v>
      </c>
    </row>
    <row r="12" customFormat="false" ht="27.75" hidden="false" customHeight="true" outlineLevel="0" collapsed="false">
      <c r="A12" s="13" t="s">
        <v>57</v>
      </c>
      <c r="B12" s="13" t="s">
        <v>58</v>
      </c>
      <c r="C12" s="14" t="s">
        <v>59</v>
      </c>
      <c r="D12" s="13" t="s">
        <v>60</v>
      </c>
      <c r="E12" s="14" t="s">
        <v>22</v>
      </c>
      <c r="F12" s="14" t="s">
        <v>23</v>
      </c>
      <c r="G12" s="13" t="n">
        <v>39</v>
      </c>
      <c r="H12" s="13" t="n">
        <v>52</v>
      </c>
      <c r="I12" s="15" t="n">
        <v>780000</v>
      </c>
      <c r="J12" s="15" t="n">
        <v>893750</v>
      </c>
      <c r="K12" s="15" t="n">
        <v>780000</v>
      </c>
      <c r="L12" s="9" t="n">
        <v>-113750</v>
      </c>
      <c r="M12" s="16" t="n">
        <v>0.873</v>
      </c>
      <c r="N12" s="15" t="n">
        <v>0</v>
      </c>
      <c r="O12" s="13" t="s">
        <v>61</v>
      </c>
      <c r="P12" s="13" t="s">
        <v>62</v>
      </c>
    </row>
    <row r="13" customFormat="false" ht="27.75" hidden="false" customHeight="true" outlineLevel="0" collapsed="false">
      <c r="A13" s="13" t="s">
        <v>63</v>
      </c>
      <c r="B13" s="13" t="s">
        <v>64</v>
      </c>
      <c r="C13" s="14" t="s">
        <v>65</v>
      </c>
      <c r="D13" s="13" t="s">
        <v>60</v>
      </c>
      <c r="E13" s="14" t="s">
        <v>22</v>
      </c>
      <c r="F13" s="14" t="s">
        <v>47</v>
      </c>
      <c r="G13" s="13" t="n">
        <v>29</v>
      </c>
      <c r="H13" s="13" t="n">
        <v>27</v>
      </c>
      <c r="I13" s="15" t="n">
        <v>580000</v>
      </c>
      <c r="J13" s="15" t="n">
        <v>518750</v>
      </c>
      <c r="K13" s="15" t="n">
        <v>540000</v>
      </c>
      <c r="L13" s="7" t="n">
        <v>21250</v>
      </c>
      <c r="M13" s="8" t="n">
        <v>1.041</v>
      </c>
      <c r="N13" s="15" t="n">
        <v>-40000</v>
      </c>
      <c r="O13" s="13" t="s">
        <v>61</v>
      </c>
      <c r="P13" s="13" t="s">
        <v>62</v>
      </c>
    </row>
    <row r="14" customFormat="false" ht="27.75" hidden="false" customHeight="true" outlineLevel="0" collapsed="false">
      <c r="A14" s="13" t="s">
        <v>66</v>
      </c>
      <c r="B14" s="13" t="s">
        <v>67</v>
      </c>
      <c r="C14" s="14" t="s">
        <v>68</v>
      </c>
      <c r="D14" s="13" t="s">
        <v>60</v>
      </c>
      <c r="E14" s="14" t="s">
        <v>22</v>
      </c>
      <c r="F14" s="14" t="s">
        <v>23</v>
      </c>
      <c r="G14" s="13" t="n">
        <v>27</v>
      </c>
      <c r="H14" s="13" t="n">
        <v>28</v>
      </c>
      <c r="I14" s="15" t="n">
        <v>540000</v>
      </c>
      <c r="J14" s="15" t="n">
        <v>518750</v>
      </c>
      <c r="K14" s="15" t="n">
        <v>540000</v>
      </c>
      <c r="L14" s="7" t="n">
        <v>21250</v>
      </c>
      <c r="M14" s="8" t="n">
        <v>1.041</v>
      </c>
      <c r="N14" s="15" t="n">
        <v>0</v>
      </c>
      <c r="O14" s="13" t="s">
        <v>69</v>
      </c>
      <c r="P14" s="13" t="s">
        <v>70</v>
      </c>
    </row>
    <row r="15" customFormat="false" ht="27.75" hidden="false" customHeight="true" outlineLevel="0" collapsed="false">
      <c r="A15" s="13" t="s">
        <v>71</v>
      </c>
      <c r="B15" s="13" t="s">
        <v>72</v>
      </c>
      <c r="C15" s="14" t="s">
        <v>73</v>
      </c>
      <c r="D15" s="13" t="s">
        <v>60</v>
      </c>
      <c r="E15" s="14" t="s">
        <v>22</v>
      </c>
      <c r="F15" s="14" t="s">
        <v>56</v>
      </c>
      <c r="G15" s="13" t="n">
        <v>29</v>
      </c>
      <c r="H15" s="13" t="n">
        <v>28</v>
      </c>
      <c r="I15" s="15" t="n">
        <v>580000</v>
      </c>
      <c r="J15" s="15" t="n">
        <v>531250</v>
      </c>
      <c r="K15" s="15" t="n">
        <v>560000</v>
      </c>
      <c r="L15" s="7" t="n">
        <v>28750</v>
      </c>
      <c r="M15" s="8" t="n">
        <v>1.054</v>
      </c>
      <c r="N15" s="15" t="n">
        <v>-20000</v>
      </c>
      <c r="O15" s="13" t="s">
        <v>69</v>
      </c>
      <c r="P15" s="13" t="s">
        <v>70</v>
      </c>
    </row>
    <row r="16" customFormat="false" ht="27.75" hidden="false" customHeight="true" outlineLevel="0" collapsed="false">
      <c r="A16" s="13" t="s">
        <v>74</v>
      </c>
      <c r="B16" s="13" t="s">
        <v>75</v>
      </c>
      <c r="C16" s="14" t="s">
        <v>76</v>
      </c>
      <c r="D16" s="13" t="s">
        <v>60</v>
      </c>
      <c r="E16" s="14" t="s">
        <v>22</v>
      </c>
      <c r="F16" s="14" t="s">
        <v>56</v>
      </c>
      <c r="G16" s="13" t="n">
        <v>29</v>
      </c>
      <c r="H16" s="13" t="n">
        <v>29</v>
      </c>
      <c r="I16" s="15" t="n">
        <v>580000</v>
      </c>
      <c r="J16" s="15" t="n">
        <v>543750</v>
      </c>
      <c r="K16" s="15" t="n">
        <v>580000</v>
      </c>
      <c r="L16" s="7" t="n">
        <v>36250</v>
      </c>
      <c r="M16" s="8" t="n">
        <v>1.067</v>
      </c>
      <c r="N16" s="15" t="n">
        <v>0</v>
      </c>
      <c r="O16" s="13" t="s">
        <v>69</v>
      </c>
      <c r="P16" s="13" t="s">
        <v>70</v>
      </c>
    </row>
    <row r="17" customFormat="false" ht="27.75" hidden="false" customHeight="true" outlineLevel="0" collapsed="false">
      <c r="A17" s="17" t="s">
        <v>77</v>
      </c>
      <c r="B17" s="17" t="s">
        <v>78</v>
      </c>
      <c r="C17" s="18" t="s">
        <v>79</v>
      </c>
      <c r="D17" s="17" t="s">
        <v>80</v>
      </c>
      <c r="E17" s="18" t="s">
        <v>22</v>
      </c>
      <c r="F17" s="18" t="s">
        <v>23</v>
      </c>
      <c r="G17" s="17" t="n">
        <v>27</v>
      </c>
      <c r="H17" s="17" t="n">
        <v>27</v>
      </c>
      <c r="I17" s="19" t="n">
        <v>540000</v>
      </c>
      <c r="J17" s="19" t="n">
        <v>506250</v>
      </c>
      <c r="K17" s="19" t="n">
        <v>540000</v>
      </c>
      <c r="L17" s="7" t="n">
        <v>33750</v>
      </c>
      <c r="M17" s="8" t="n">
        <v>1.067</v>
      </c>
      <c r="N17" s="19" t="n">
        <v>0</v>
      </c>
      <c r="O17" s="17" t="s">
        <v>81</v>
      </c>
      <c r="P17" s="17" t="s">
        <v>82</v>
      </c>
    </row>
    <row r="18" customFormat="false" ht="27.75" hidden="false" customHeight="true" outlineLevel="0" collapsed="false">
      <c r="A18" s="17" t="s">
        <v>83</v>
      </c>
      <c r="B18" s="17" t="s">
        <v>84</v>
      </c>
      <c r="C18" s="18" t="s">
        <v>85</v>
      </c>
      <c r="D18" s="17" t="s">
        <v>80</v>
      </c>
      <c r="E18" s="18" t="s">
        <v>22</v>
      </c>
      <c r="F18" s="18" t="s">
        <v>23</v>
      </c>
      <c r="G18" s="17" t="n">
        <v>27</v>
      </c>
      <c r="H18" s="17" t="n">
        <v>27</v>
      </c>
      <c r="I18" s="19" t="n">
        <v>540000</v>
      </c>
      <c r="J18" s="19" t="n">
        <v>506250</v>
      </c>
      <c r="K18" s="19" t="n">
        <v>540000</v>
      </c>
      <c r="L18" s="7" t="n">
        <v>33750</v>
      </c>
      <c r="M18" s="8" t="n">
        <v>1.067</v>
      </c>
      <c r="N18" s="19" t="n">
        <v>0</v>
      </c>
      <c r="O18" s="17" t="s">
        <v>81</v>
      </c>
      <c r="P18" s="17" t="s">
        <v>82</v>
      </c>
    </row>
    <row r="19" customFormat="false" ht="27.75" hidden="false" customHeight="true" outlineLevel="0" collapsed="false">
      <c r="A19" s="17" t="s">
        <v>86</v>
      </c>
      <c r="B19" s="17" t="s">
        <v>87</v>
      </c>
      <c r="C19" s="18" t="s">
        <v>88</v>
      </c>
      <c r="D19" s="17" t="s">
        <v>80</v>
      </c>
      <c r="E19" s="18" t="s">
        <v>22</v>
      </c>
      <c r="F19" s="18" t="s">
        <v>23</v>
      </c>
      <c r="G19" s="17" t="n">
        <v>27</v>
      </c>
      <c r="H19" s="17" t="n">
        <v>27</v>
      </c>
      <c r="I19" s="19" t="n">
        <v>540000</v>
      </c>
      <c r="J19" s="19" t="n">
        <v>506250</v>
      </c>
      <c r="K19" s="19" t="n">
        <v>540000</v>
      </c>
      <c r="L19" s="7" t="n">
        <v>33750</v>
      </c>
      <c r="M19" s="8" t="n">
        <v>1.067</v>
      </c>
      <c r="N19" s="19" t="n">
        <v>0</v>
      </c>
      <c r="O19" s="17" t="s">
        <v>81</v>
      </c>
      <c r="P19" s="17" t="s">
        <v>82</v>
      </c>
    </row>
    <row r="20" customFormat="false" ht="21.75" hidden="false" customHeight="true" outlineLevel="0" collapsed="false">
      <c r="A20" s="20" t="s">
        <v>89</v>
      </c>
      <c r="B20" s="20"/>
      <c r="C20" s="20"/>
      <c r="D20" s="20"/>
      <c r="E20" s="20"/>
      <c r="F20" s="20"/>
      <c r="G20" s="20"/>
      <c r="H20" s="20"/>
      <c r="I20" s="21" t="n">
        <f aca="false">SUM(I4:I19)</f>
        <v>9820000</v>
      </c>
      <c r="J20" s="21" t="n">
        <f aca="false">SUM(J4:J19)</f>
        <v>9168750</v>
      </c>
      <c r="K20" s="21" t="n">
        <f aca="false">SUM(K4:K19)</f>
        <v>9440000</v>
      </c>
      <c r="L20" s="21" t="n">
        <f aca="false">SUM(L4:L19)</f>
        <v>271250</v>
      </c>
      <c r="M20" s="22" t="n">
        <f aca="false">K20/J20</f>
        <v>1.02958418541241</v>
      </c>
      <c r="N20" s="21" t="n">
        <f aca="false">SUM(N4:N19)</f>
        <v>-380000</v>
      </c>
      <c r="O20" s="23"/>
      <c r="P20" s="23"/>
    </row>
    <row r="22" customFormat="false" ht="19.5" hidden="false" customHeight="true" outlineLevel="0" collapsed="false">
      <c r="A22" s="24" t="s">
        <v>90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customFormat="false" ht="32.8" hidden="false" customHeight="false" outlineLevel="0" collapsed="false">
      <c r="A23" s="3" t="s">
        <v>5</v>
      </c>
      <c r="B23" s="3" t="s">
        <v>91</v>
      </c>
      <c r="C23" s="3" t="s">
        <v>92</v>
      </c>
      <c r="D23" s="3" t="s">
        <v>93</v>
      </c>
      <c r="E23" s="3" t="s">
        <v>94</v>
      </c>
      <c r="F23" s="3" t="s">
        <v>95</v>
      </c>
      <c r="G23" s="3" t="s">
        <v>96</v>
      </c>
    </row>
    <row r="24" customFormat="false" ht="22.35" hidden="false" customHeight="false" outlineLevel="0" collapsed="false">
      <c r="A24" s="4" t="s">
        <v>97</v>
      </c>
      <c r="B24" s="6" t="n">
        <f aca="false">I4+I5+I6+I7</f>
        <v>2700000</v>
      </c>
      <c r="C24" s="6" t="n">
        <f aca="false">J4+J5+J6+J7</f>
        <v>2381250</v>
      </c>
      <c r="D24" s="6" t="n">
        <f aca="false">K4+K5+K6+K7</f>
        <v>2460000</v>
      </c>
      <c r="E24" s="6" t="n">
        <f aca="false">D24-C24</f>
        <v>78750</v>
      </c>
      <c r="F24" s="25" t="n">
        <f aca="false">D24/C24</f>
        <v>1.03307086614173</v>
      </c>
      <c r="G24" s="4" t="s">
        <v>98</v>
      </c>
    </row>
    <row r="25" customFormat="false" ht="22.35" hidden="false" customHeight="false" outlineLevel="0" collapsed="false">
      <c r="A25" s="10" t="s">
        <v>99</v>
      </c>
      <c r="B25" s="12" t="n">
        <f aca="false">I8+I9+I10+I11</f>
        <v>2440000</v>
      </c>
      <c r="C25" s="12" t="n">
        <f aca="false">J8+J9+J10+J11</f>
        <v>2262500</v>
      </c>
      <c r="D25" s="12" t="n">
        <f aca="false">K8+K9+K10+K11</f>
        <v>2360000</v>
      </c>
      <c r="E25" s="12" t="n">
        <f aca="false">D25-C25</f>
        <v>97500</v>
      </c>
      <c r="F25" s="26" t="n">
        <f aca="false">D25/C25</f>
        <v>1.04309392265193</v>
      </c>
      <c r="G25" s="10" t="s">
        <v>98</v>
      </c>
    </row>
    <row r="26" customFormat="false" ht="22.35" hidden="false" customHeight="false" outlineLevel="0" collapsed="false">
      <c r="A26" s="13" t="s">
        <v>100</v>
      </c>
      <c r="B26" s="15" t="n">
        <f aca="false">I12+I13+I14+I15+I16</f>
        <v>3060000</v>
      </c>
      <c r="C26" s="15" t="n">
        <f aca="false">J12+J13+J14+J15+J16</f>
        <v>3006250</v>
      </c>
      <c r="D26" s="15" t="n">
        <f aca="false">K12+K13+K14+K15+K16</f>
        <v>3000000</v>
      </c>
      <c r="E26" s="15" t="n">
        <f aca="false">D26-C26</f>
        <v>-6250</v>
      </c>
      <c r="F26" s="27" t="n">
        <f aca="false">D26/C26</f>
        <v>0.997920997920998</v>
      </c>
      <c r="G26" s="13" t="s">
        <v>98</v>
      </c>
    </row>
    <row r="27" customFormat="false" ht="22.35" hidden="false" customHeight="false" outlineLevel="0" collapsed="false">
      <c r="A27" s="17" t="s">
        <v>101</v>
      </c>
      <c r="B27" s="19" t="n">
        <f aca="false">I17+I18+I19</f>
        <v>1620000</v>
      </c>
      <c r="C27" s="19" t="n">
        <f aca="false">J17+J18+J19</f>
        <v>1518750</v>
      </c>
      <c r="D27" s="19" t="n">
        <f aca="false">K17+K18+K19</f>
        <v>1620000</v>
      </c>
      <c r="E27" s="19" t="n">
        <f aca="false">D27-C27</f>
        <v>101250</v>
      </c>
      <c r="F27" s="28" t="n">
        <f aca="false">D27/C27</f>
        <v>1.06666666666667</v>
      </c>
      <c r="G27" s="17" t="s">
        <v>98</v>
      </c>
    </row>
    <row r="29" customFormat="false" ht="15" hidden="false" customHeight="true" outlineLevel="0" collapsed="false">
      <c r="A29" s="29" t="s">
        <v>102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</sheetData>
  <mergeCells count="5">
    <mergeCell ref="A1:P1"/>
    <mergeCell ref="A2:P2"/>
    <mergeCell ref="A20:H20"/>
    <mergeCell ref="A22:P22"/>
    <mergeCell ref="A29:P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</cols>
  <sheetData>
    <row r="1" customFormat="false" ht="25.5" hidden="false" customHeight="true" outlineLevel="0" collapsed="false">
      <c r="A1" s="30" t="s">
        <v>103</v>
      </c>
      <c r="B1" s="30"/>
    </row>
    <row r="2" customFormat="false" ht="15" hidden="false" customHeight="true" outlineLevel="0" collapsed="false">
      <c r="A2" s="2" t="s">
        <v>104</v>
      </c>
      <c r="B2" s="2"/>
    </row>
    <row r="3" customFormat="false" ht="18" hidden="false" customHeight="true" outlineLevel="0" collapsed="false">
      <c r="A3" s="31" t="s">
        <v>105</v>
      </c>
      <c r="B3" s="32" t="n">
        <v>0</v>
      </c>
    </row>
    <row r="4" customFormat="false" ht="18" hidden="false" customHeight="true" outlineLevel="0" collapsed="false">
      <c r="A4" s="33" t="s">
        <v>106</v>
      </c>
      <c r="B4" s="34" t="n">
        <v>0</v>
      </c>
    </row>
    <row r="5" customFormat="false" ht="18" hidden="false" customHeight="true" outlineLevel="0" collapsed="false">
      <c r="A5" s="31" t="s">
        <v>107</v>
      </c>
      <c r="B5" s="32" t="n">
        <v>0</v>
      </c>
    </row>
    <row r="6" customFormat="false" ht="18" hidden="false" customHeight="true" outlineLevel="0" collapsed="false">
      <c r="A6" s="33" t="s">
        <v>108</v>
      </c>
      <c r="B6" s="34" t="n">
        <v>0</v>
      </c>
    </row>
    <row r="7" customFormat="false" ht="18" hidden="false" customHeight="true" outlineLevel="0" collapsed="false">
      <c r="A7" s="31" t="s">
        <v>109</v>
      </c>
      <c r="B7" s="32" t="n">
        <v>6134000</v>
      </c>
    </row>
    <row r="8" customFormat="false" ht="18" hidden="false" customHeight="true" outlineLevel="0" collapsed="false">
      <c r="A8" s="33" t="s">
        <v>110</v>
      </c>
      <c r="B8" s="34" t="n">
        <v>3067000</v>
      </c>
    </row>
    <row r="9" customFormat="false" ht="18" hidden="false" customHeight="true" outlineLevel="0" collapsed="false">
      <c r="A9" s="31" t="s">
        <v>111</v>
      </c>
      <c r="B9" s="32" t="n">
        <v>619000</v>
      </c>
    </row>
    <row r="10" customFormat="false" ht="21.75" hidden="false" customHeight="true" outlineLevel="0" collapsed="false">
      <c r="A10" s="35" t="s">
        <v>112</v>
      </c>
      <c r="B10" s="36" t="n">
        <f aca="false">SUM(B3:B9)</f>
        <v>9820000</v>
      </c>
    </row>
    <row r="12" customFormat="false" ht="30" hidden="false" customHeight="true" outlineLevel="0" collapsed="false">
      <c r="A12" s="29" t="s">
        <v>113</v>
      </c>
      <c r="B12" s="29"/>
    </row>
  </sheetData>
  <mergeCells count="3">
    <mergeCell ref="A1:B1"/>
    <mergeCell ref="A2:B2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24" hidden="false" customHeight="true" outlineLevel="0" collapsed="false">
      <c r="A1" s="37" t="s">
        <v>114</v>
      </c>
      <c r="B1" s="37"/>
      <c r="C1" s="37"/>
      <c r="D1" s="37"/>
      <c r="E1" s="37"/>
      <c r="F1" s="37"/>
    </row>
    <row r="2" customFormat="false" ht="15" hidden="false" customHeight="true" outlineLevel="0" collapsed="false">
      <c r="A2" s="38" t="s">
        <v>115</v>
      </c>
      <c r="B2" s="38"/>
      <c r="C2" s="38"/>
      <c r="D2" s="38"/>
      <c r="E2" s="38"/>
      <c r="F2" s="38"/>
    </row>
    <row r="3" customFormat="false" ht="33.75" hidden="false" customHeight="true" outlineLevel="0" collapsed="false">
      <c r="A3" s="3" t="s">
        <v>116</v>
      </c>
      <c r="B3" s="3" t="s">
        <v>117</v>
      </c>
      <c r="C3" s="3" t="s">
        <v>5</v>
      </c>
      <c r="D3" s="3" t="s">
        <v>118</v>
      </c>
      <c r="E3" s="3" t="s">
        <v>119</v>
      </c>
      <c r="F3" s="3" t="s">
        <v>120</v>
      </c>
    </row>
    <row r="4" customFormat="false" ht="15" hidden="false" customHeight="false" outlineLevel="0" collapsed="false">
      <c r="A4" s="4" t="s">
        <v>19</v>
      </c>
      <c r="B4" s="5" t="s">
        <v>20</v>
      </c>
      <c r="C4" s="4" t="s">
        <v>97</v>
      </c>
      <c r="D4" s="4" t="n">
        <v>19</v>
      </c>
      <c r="E4" s="39" t="n">
        <v>12500</v>
      </c>
      <c r="F4" s="40" t="n">
        <f aca="false">D4*E4</f>
        <v>237500</v>
      </c>
    </row>
    <row r="5" customFormat="false" ht="15" hidden="false" customHeight="false" outlineLevel="0" collapsed="false">
      <c r="A5" s="4" t="s">
        <v>27</v>
      </c>
      <c r="B5" s="5" t="s">
        <v>28</v>
      </c>
      <c r="C5" s="4" t="s">
        <v>97</v>
      </c>
      <c r="D5" s="4" t="n">
        <v>26</v>
      </c>
      <c r="E5" s="39" t="n">
        <v>12500</v>
      </c>
      <c r="F5" s="40" t="n">
        <f aca="false">D5*E5</f>
        <v>325000</v>
      </c>
    </row>
    <row r="6" customFormat="false" ht="15" hidden="false" customHeight="false" outlineLevel="0" collapsed="false">
      <c r="A6" s="4" t="s">
        <v>31</v>
      </c>
      <c r="B6" s="5" t="s">
        <v>32</v>
      </c>
      <c r="C6" s="4" t="s">
        <v>97</v>
      </c>
      <c r="D6" s="4" t="n">
        <v>45</v>
      </c>
      <c r="E6" s="39" t="n">
        <v>12500</v>
      </c>
      <c r="F6" s="40" t="n">
        <f aca="false">D6*E6</f>
        <v>562500</v>
      </c>
    </row>
    <row r="7" customFormat="false" ht="15" hidden="false" customHeight="false" outlineLevel="0" collapsed="false">
      <c r="A7" s="4" t="s">
        <v>36</v>
      </c>
      <c r="B7" s="5" t="s">
        <v>37</v>
      </c>
      <c r="C7" s="4" t="s">
        <v>97</v>
      </c>
      <c r="D7" s="4" t="n">
        <v>45</v>
      </c>
      <c r="E7" s="39" t="n">
        <v>12500</v>
      </c>
      <c r="F7" s="40" t="n">
        <f aca="false">D7*E7</f>
        <v>562500</v>
      </c>
    </row>
    <row r="8" customFormat="false" ht="15" hidden="false" customHeight="false" outlineLevel="0" collapsed="false">
      <c r="A8" s="10" t="s">
        <v>39</v>
      </c>
      <c r="B8" s="11" t="s">
        <v>40</v>
      </c>
      <c r="C8" s="10" t="s">
        <v>99</v>
      </c>
      <c r="D8" s="10" t="n">
        <v>31</v>
      </c>
      <c r="E8" s="41" t="n">
        <v>12500</v>
      </c>
      <c r="F8" s="42" t="n">
        <f aca="false">D8*E8</f>
        <v>387500</v>
      </c>
    </row>
    <row r="9" customFormat="false" ht="15" hidden="false" customHeight="false" outlineLevel="0" collapsed="false">
      <c r="A9" s="10" t="s">
        <v>45</v>
      </c>
      <c r="B9" s="11" t="s">
        <v>46</v>
      </c>
      <c r="C9" s="10" t="s">
        <v>99</v>
      </c>
      <c r="D9" s="10" t="n">
        <v>29</v>
      </c>
      <c r="E9" s="41" t="n">
        <v>12500</v>
      </c>
      <c r="F9" s="42" t="n">
        <f aca="false">D9*E9</f>
        <v>362500</v>
      </c>
    </row>
    <row r="10" customFormat="false" ht="15" hidden="false" customHeight="false" outlineLevel="0" collapsed="false">
      <c r="A10" s="10" t="s">
        <v>49</v>
      </c>
      <c r="B10" s="11" t="s">
        <v>50</v>
      </c>
      <c r="C10" s="10" t="s">
        <v>99</v>
      </c>
      <c r="D10" s="10" t="n">
        <v>33</v>
      </c>
      <c r="E10" s="41" t="n">
        <v>12500</v>
      </c>
      <c r="F10" s="42" t="n">
        <f aca="false">D10*E10</f>
        <v>412500</v>
      </c>
    </row>
    <row r="11" customFormat="false" ht="15" hidden="false" customHeight="false" outlineLevel="0" collapsed="false">
      <c r="A11" s="10" t="s">
        <v>54</v>
      </c>
      <c r="B11" s="11" t="s">
        <v>55</v>
      </c>
      <c r="C11" s="10" t="s">
        <v>99</v>
      </c>
      <c r="D11" s="10" t="n">
        <v>29</v>
      </c>
      <c r="E11" s="41" t="n">
        <v>12500</v>
      </c>
      <c r="F11" s="42" t="n">
        <f aca="false">D11*E11</f>
        <v>362500</v>
      </c>
    </row>
    <row r="12" customFormat="false" ht="15" hidden="false" customHeight="false" outlineLevel="0" collapsed="false">
      <c r="A12" s="13" t="s">
        <v>58</v>
      </c>
      <c r="B12" s="14" t="s">
        <v>59</v>
      </c>
      <c r="C12" s="13" t="s">
        <v>100</v>
      </c>
      <c r="D12" s="13" t="n">
        <v>39</v>
      </c>
      <c r="E12" s="43" t="n">
        <v>12500</v>
      </c>
      <c r="F12" s="44" t="n">
        <f aca="false">D12*E12</f>
        <v>487500</v>
      </c>
    </row>
    <row r="13" customFormat="false" ht="15" hidden="false" customHeight="false" outlineLevel="0" collapsed="false">
      <c r="A13" s="13" t="s">
        <v>64</v>
      </c>
      <c r="B13" s="14" t="s">
        <v>121</v>
      </c>
      <c r="C13" s="13" t="s">
        <v>100</v>
      </c>
      <c r="D13" s="13" t="n">
        <v>29</v>
      </c>
      <c r="E13" s="43" t="n">
        <v>12500</v>
      </c>
      <c r="F13" s="44" t="n">
        <f aca="false">D13*E13</f>
        <v>362500</v>
      </c>
    </row>
    <row r="14" customFormat="false" ht="15" hidden="false" customHeight="false" outlineLevel="0" collapsed="false">
      <c r="A14" s="13" t="s">
        <v>67</v>
      </c>
      <c r="B14" s="14" t="s">
        <v>68</v>
      </c>
      <c r="C14" s="13" t="s">
        <v>100</v>
      </c>
      <c r="D14" s="13" t="n">
        <v>27</v>
      </c>
      <c r="E14" s="43" t="n">
        <v>12500</v>
      </c>
      <c r="F14" s="44" t="n">
        <f aca="false">D14*E14</f>
        <v>337500</v>
      </c>
    </row>
    <row r="15" customFormat="false" ht="15" hidden="false" customHeight="false" outlineLevel="0" collapsed="false">
      <c r="A15" s="13" t="s">
        <v>72</v>
      </c>
      <c r="B15" s="14" t="s">
        <v>73</v>
      </c>
      <c r="C15" s="13" t="s">
        <v>100</v>
      </c>
      <c r="D15" s="13" t="n">
        <v>29</v>
      </c>
      <c r="E15" s="43" t="n">
        <v>12500</v>
      </c>
      <c r="F15" s="44" t="n">
        <f aca="false">D15*E15</f>
        <v>362500</v>
      </c>
    </row>
    <row r="16" customFormat="false" ht="15" hidden="false" customHeight="false" outlineLevel="0" collapsed="false">
      <c r="A16" s="13" t="s">
        <v>75</v>
      </c>
      <c r="B16" s="14" t="s">
        <v>76</v>
      </c>
      <c r="C16" s="13" t="s">
        <v>100</v>
      </c>
      <c r="D16" s="13" t="n">
        <v>29</v>
      </c>
      <c r="E16" s="43" t="n">
        <v>12500</v>
      </c>
      <c r="F16" s="44" t="n">
        <f aca="false">D16*E16</f>
        <v>362500</v>
      </c>
    </row>
    <row r="17" customFormat="false" ht="15" hidden="false" customHeight="false" outlineLevel="0" collapsed="false">
      <c r="A17" s="17" t="s">
        <v>78</v>
      </c>
      <c r="B17" s="18" t="s">
        <v>122</v>
      </c>
      <c r="C17" s="17" t="s">
        <v>101</v>
      </c>
      <c r="D17" s="17" t="n">
        <v>27</v>
      </c>
      <c r="E17" s="45" t="n">
        <v>12500</v>
      </c>
      <c r="F17" s="46" t="n">
        <f aca="false">D17*E17</f>
        <v>337500</v>
      </c>
    </row>
    <row r="18" customFormat="false" ht="15" hidden="false" customHeight="false" outlineLevel="0" collapsed="false">
      <c r="A18" s="17" t="s">
        <v>84</v>
      </c>
      <c r="B18" s="18" t="s">
        <v>123</v>
      </c>
      <c r="C18" s="17" t="s">
        <v>101</v>
      </c>
      <c r="D18" s="17" t="n">
        <v>27</v>
      </c>
      <c r="E18" s="45" t="n">
        <v>12500</v>
      </c>
      <c r="F18" s="46" t="n">
        <f aca="false">D18*E18</f>
        <v>337500</v>
      </c>
    </row>
    <row r="19" customFormat="false" ht="15" hidden="false" customHeight="false" outlineLevel="0" collapsed="false">
      <c r="A19" s="17" t="s">
        <v>87</v>
      </c>
      <c r="B19" s="18" t="s">
        <v>88</v>
      </c>
      <c r="C19" s="17" t="s">
        <v>101</v>
      </c>
      <c r="D19" s="17" t="n">
        <v>27</v>
      </c>
      <c r="E19" s="45" t="n">
        <v>12500</v>
      </c>
      <c r="F19" s="46" t="n">
        <f aca="false">D19*E19</f>
        <v>337500</v>
      </c>
    </row>
    <row r="20" customFormat="false" ht="15" hidden="false" customHeight="false" outlineLevel="0" collapsed="false">
      <c r="A20" s="47" t="s">
        <v>124</v>
      </c>
      <c r="B20" s="47"/>
      <c r="C20" s="47"/>
      <c r="D20" s="47" t="n">
        <f aca="false">SUM(D4:D19)</f>
        <v>491</v>
      </c>
      <c r="E20" s="47"/>
      <c r="F20" s="21" t="n">
        <f aca="false">SUM(F4:F19)</f>
        <v>6137500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4"/>
  </cols>
  <sheetData>
    <row r="1" customFormat="false" ht="24" hidden="false" customHeight="true" outlineLevel="0" collapsed="false">
      <c r="A1" s="37" t="s">
        <v>125</v>
      </c>
      <c r="B1" s="37"/>
      <c r="C1" s="37"/>
      <c r="D1" s="37"/>
      <c r="E1" s="37"/>
      <c r="F1" s="37"/>
    </row>
    <row r="2" customFormat="false" ht="15" hidden="false" customHeight="true" outlineLevel="0" collapsed="false">
      <c r="A2" s="38" t="s">
        <v>126</v>
      </c>
      <c r="B2" s="38"/>
      <c r="C2" s="38"/>
      <c r="D2" s="38"/>
      <c r="E2" s="38"/>
      <c r="F2" s="38"/>
    </row>
    <row r="3" customFormat="false" ht="33.75" hidden="false" customHeight="true" outlineLevel="0" collapsed="false">
      <c r="A3" s="3" t="s">
        <v>116</v>
      </c>
      <c r="B3" s="3" t="s">
        <v>117</v>
      </c>
      <c r="C3" s="3" t="s">
        <v>5</v>
      </c>
      <c r="D3" s="3" t="s">
        <v>118</v>
      </c>
      <c r="E3" s="3" t="s">
        <v>127</v>
      </c>
      <c r="F3" s="3" t="s">
        <v>128</v>
      </c>
    </row>
    <row r="4" customFormat="false" ht="15" hidden="false" customHeight="false" outlineLevel="0" collapsed="false">
      <c r="A4" s="4" t="s">
        <v>19</v>
      </c>
      <c r="B4" s="5" t="s">
        <v>20</v>
      </c>
      <c r="C4" s="4" t="s">
        <v>97</v>
      </c>
      <c r="D4" s="4" t="n">
        <v>19</v>
      </c>
      <c r="E4" s="39" t="n">
        <v>6250</v>
      </c>
      <c r="F4" s="40" t="n">
        <f aca="false">D4*E4</f>
        <v>118750</v>
      </c>
    </row>
    <row r="5" customFormat="false" ht="15" hidden="false" customHeight="false" outlineLevel="0" collapsed="false">
      <c r="A5" s="4" t="s">
        <v>27</v>
      </c>
      <c r="B5" s="5" t="s">
        <v>28</v>
      </c>
      <c r="C5" s="4" t="s">
        <v>97</v>
      </c>
      <c r="D5" s="4" t="n">
        <v>26</v>
      </c>
      <c r="E5" s="39" t="n">
        <v>6250</v>
      </c>
      <c r="F5" s="40" t="n">
        <f aca="false">D5*E5</f>
        <v>162500</v>
      </c>
    </row>
    <row r="6" customFormat="false" ht="15" hidden="false" customHeight="false" outlineLevel="0" collapsed="false">
      <c r="A6" s="4" t="s">
        <v>31</v>
      </c>
      <c r="B6" s="5" t="s">
        <v>32</v>
      </c>
      <c r="C6" s="4" t="s">
        <v>97</v>
      </c>
      <c r="D6" s="4" t="n">
        <v>45</v>
      </c>
      <c r="E6" s="39" t="n">
        <v>6250</v>
      </c>
      <c r="F6" s="40" t="n">
        <f aca="false">D6*E6</f>
        <v>281250</v>
      </c>
    </row>
    <row r="7" customFormat="false" ht="15" hidden="false" customHeight="false" outlineLevel="0" collapsed="false">
      <c r="A7" s="4" t="s">
        <v>36</v>
      </c>
      <c r="B7" s="5" t="s">
        <v>37</v>
      </c>
      <c r="C7" s="4" t="s">
        <v>97</v>
      </c>
      <c r="D7" s="4" t="n">
        <v>45</v>
      </c>
      <c r="E7" s="39" t="n">
        <v>6250</v>
      </c>
      <c r="F7" s="40" t="n">
        <f aca="false">D7*E7</f>
        <v>281250</v>
      </c>
    </row>
    <row r="8" customFormat="false" ht="15" hidden="false" customHeight="false" outlineLevel="0" collapsed="false">
      <c r="A8" s="10" t="s">
        <v>39</v>
      </c>
      <c r="B8" s="11" t="s">
        <v>40</v>
      </c>
      <c r="C8" s="10" t="s">
        <v>99</v>
      </c>
      <c r="D8" s="10" t="n">
        <v>31</v>
      </c>
      <c r="E8" s="41" t="n">
        <v>6250</v>
      </c>
      <c r="F8" s="42" t="n">
        <f aca="false">D8*E8</f>
        <v>193750</v>
      </c>
    </row>
    <row r="9" customFormat="false" ht="15" hidden="false" customHeight="false" outlineLevel="0" collapsed="false">
      <c r="A9" s="10" t="s">
        <v>45</v>
      </c>
      <c r="B9" s="11" t="s">
        <v>46</v>
      </c>
      <c r="C9" s="10" t="s">
        <v>99</v>
      </c>
      <c r="D9" s="10" t="n">
        <v>29</v>
      </c>
      <c r="E9" s="41" t="n">
        <v>6250</v>
      </c>
      <c r="F9" s="42" t="n">
        <f aca="false">D9*E9</f>
        <v>181250</v>
      </c>
    </row>
    <row r="10" customFormat="false" ht="15" hidden="false" customHeight="false" outlineLevel="0" collapsed="false">
      <c r="A10" s="10" t="s">
        <v>49</v>
      </c>
      <c r="B10" s="11" t="s">
        <v>50</v>
      </c>
      <c r="C10" s="10" t="s">
        <v>99</v>
      </c>
      <c r="D10" s="10" t="n">
        <v>33</v>
      </c>
      <c r="E10" s="41" t="n">
        <v>6250</v>
      </c>
      <c r="F10" s="42" t="n">
        <f aca="false">D10*E10</f>
        <v>206250</v>
      </c>
    </row>
    <row r="11" customFormat="false" ht="15" hidden="false" customHeight="false" outlineLevel="0" collapsed="false">
      <c r="A11" s="10" t="s">
        <v>54</v>
      </c>
      <c r="B11" s="11" t="s">
        <v>55</v>
      </c>
      <c r="C11" s="10" t="s">
        <v>99</v>
      </c>
      <c r="D11" s="10" t="n">
        <v>29</v>
      </c>
      <c r="E11" s="41" t="n">
        <v>6250</v>
      </c>
      <c r="F11" s="42" t="n">
        <f aca="false">D11*E11</f>
        <v>181250</v>
      </c>
    </row>
    <row r="12" customFormat="false" ht="15" hidden="false" customHeight="false" outlineLevel="0" collapsed="false">
      <c r="A12" s="13" t="s">
        <v>58</v>
      </c>
      <c r="B12" s="14" t="s">
        <v>59</v>
      </c>
      <c r="C12" s="13" t="s">
        <v>100</v>
      </c>
      <c r="D12" s="13" t="n">
        <v>39</v>
      </c>
      <c r="E12" s="43" t="n">
        <v>6250</v>
      </c>
      <c r="F12" s="44" t="n">
        <f aca="false">D12*E12</f>
        <v>243750</v>
      </c>
    </row>
    <row r="13" customFormat="false" ht="15" hidden="false" customHeight="false" outlineLevel="0" collapsed="false">
      <c r="A13" s="13" t="s">
        <v>64</v>
      </c>
      <c r="B13" s="14" t="s">
        <v>121</v>
      </c>
      <c r="C13" s="13" t="s">
        <v>100</v>
      </c>
      <c r="D13" s="13" t="n">
        <v>29</v>
      </c>
      <c r="E13" s="43" t="n">
        <v>6250</v>
      </c>
      <c r="F13" s="44" t="n">
        <f aca="false">D13*E13</f>
        <v>181250</v>
      </c>
    </row>
    <row r="14" customFormat="false" ht="15" hidden="false" customHeight="false" outlineLevel="0" collapsed="false">
      <c r="A14" s="13" t="s">
        <v>67</v>
      </c>
      <c r="B14" s="14" t="s">
        <v>68</v>
      </c>
      <c r="C14" s="13" t="s">
        <v>100</v>
      </c>
      <c r="D14" s="13" t="n">
        <v>27</v>
      </c>
      <c r="E14" s="43" t="n">
        <v>6250</v>
      </c>
      <c r="F14" s="44" t="n">
        <f aca="false">D14*E14</f>
        <v>168750</v>
      </c>
    </row>
    <row r="15" customFormat="false" ht="15" hidden="false" customHeight="false" outlineLevel="0" collapsed="false">
      <c r="A15" s="13" t="s">
        <v>72</v>
      </c>
      <c r="B15" s="14" t="s">
        <v>73</v>
      </c>
      <c r="C15" s="13" t="s">
        <v>100</v>
      </c>
      <c r="D15" s="13" t="n">
        <v>29</v>
      </c>
      <c r="E15" s="43" t="n">
        <v>6250</v>
      </c>
      <c r="F15" s="44" t="n">
        <f aca="false">D15*E15</f>
        <v>181250</v>
      </c>
    </row>
    <row r="16" customFormat="false" ht="15" hidden="false" customHeight="false" outlineLevel="0" collapsed="false">
      <c r="A16" s="13" t="s">
        <v>75</v>
      </c>
      <c r="B16" s="14" t="s">
        <v>76</v>
      </c>
      <c r="C16" s="13" t="s">
        <v>100</v>
      </c>
      <c r="D16" s="13" t="n">
        <v>29</v>
      </c>
      <c r="E16" s="43" t="n">
        <v>6250</v>
      </c>
      <c r="F16" s="44" t="n">
        <f aca="false">D16*E16</f>
        <v>181250</v>
      </c>
    </row>
    <row r="17" customFormat="false" ht="15" hidden="false" customHeight="false" outlineLevel="0" collapsed="false">
      <c r="A17" s="17" t="s">
        <v>78</v>
      </c>
      <c r="B17" s="18" t="s">
        <v>122</v>
      </c>
      <c r="C17" s="17" t="s">
        <v>101</v>
      </c>
      <c r="D17" s="17" t="n">
        <v>27</v>
      </c>
      <c r="E17" s="45" t="n">
        <v>6250</v>
      </c>
      <c r="F17" s="46" t="n">
        <f aca="false">D17*E17</f>
        <v>168750</v>
      </c>
    </row>
    <row r="18" customFormat="false" ht="15" hidden="false" customHeight="false" outlineLevel="0" collapsed="false">
      <c r="A18" s="17" t="s">
        <v>84</v>
      </c>
      <c r="B18" s="18" t="s">
        <v>123</v>
      </c>
      <c r="C18" s="17" t="s">
        <v>101</v>
      </c>
      <c r="D18" s="17" t="n">
        <v>27</v>
      </c>
      <c r="E18" s="45" t="n">
        <v>6250</v>
      </c>
      <c r="F18" s="46" t="n">
        <f aca="false">D18*E18</f>
        <v>168750</v>
      </c>
    </row>
    <row r="19" customFormat="false" ht="15" hidden="false" customHeight="false" outlineLevel="0" collapsed="false">
      <c r="A19" s="17" t="s">
        <v>87</v>
      </c>
      <c r="B19" s="18" t="s">
        <v>88</v>
      </c>
      <c r="C19" s="17" t="s">
        <v>101</v>
      </c>
      <c r="D19" s="17" t="n">
        <v>27</v>
      </c>
      <c r="E19" s="45" t="n">
        <v>6250</v>
      </c>
      <c r="F19" s="46" t="n">
        <f aca="false">D19*E19</f>
        <v>168750</v>
      </c>
    </row>
    <row r="20" customFormat="false" ht="15" hidden="false" customHeight="false" outlineLevel="0" collapsed="false">
      <c r="A20" s="47" t="s">
        <v>124</v>
      </c>
      <c r="B20" s="47"/>
      <c r="C20" s="47"/>
      <c r="D20" s="47" t="n">
        <f aca="false">SUM(D4:D19)</f>
        <v>491</v>
      </c>
      <c r="E20" s="47"/>
      <c r="F20" s="21" t="n">
        <f aca="false">SUM(F4:F19)</f>
        <v>3068750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4"/>
  </cols>
  <sheetData>
    <row r="1" customFormat="false" ht="24" hidden="false" customHeight="true" outlineLevel="0" collapsed="false">
      <c r="A1" s="37" t="s">
        <v>129</v>
      </c>
      <c r="B1" s="37"/>
      <c r="C1" s="37"/>
      <c r="D1" s="37"/>
      <c r="E1" s="37"/>
    </row>
    <row r="2" customFormat="false" ht="15" hidden="false" customHeight="true" outlineLevel="0" collapsed="false">
      <c r="A2" s="38" t="s">
        <v>130</v>
      </c>
      <c r="B2" s="38"/>
      <c r="C2" s="38"/>
      <c r="D2" s="38"/>
      <c r="E2" s="38"/>
    </row>
    <row r="3" customFormat="false" ht="33.75" hidden="false" customHeight="true" outlineLevel="0" collapsed="false">
      <c r="A3" s="3" t="s">
        <v>116</v>
      </c>
      <c r="B3" s="3" t="s">
        <v>117</v>
      </c>
      <c r="C3" s="3" t="s">
        <v>5</v>
      </c>
      <c r="D3" s="3" t="s">
        <v>131</v>
      </c>
      <c r="E3" s="3" t="s">
        <v>132</v>
      </c>
    </row>
    <row r="4" customFormat="false" ht="15" hidden="false" customHeight="false" outlineLevel="0" collapsed="false">
      <c r="A4" s="4" t="s">
        <v>19</v>
      </c>
      <c r="B4" s="5" t="s">
        <v>20</v>
      </c>
      <c r="C4" s="4" t="s">
        <v>97</v>
      </c>
      <c r="D4" s="6" t="n">
        <v>237500</v>
      </c>
      <c r="E4" s="6" t="n">
        <v>23750</v>
      </c>
    </row>
    <row r="5" customFormat="false" ht="15" hidden="false" customHeight="false" outlineLevel="0" collapsed="false">
      <c r="A5" s="4" t="s">
        <v>27</v>
      </c>
      <c r="B5" s="5" t="s">
        <v>28</v>
      </c>
      <c r="C5" s="4" t="s">
        <v>97</v>
      </c>
      <c r="D5" s="6" t="n">
        <v>325000</v>
      </c>
      <c r="E5" s="6" t="n">
        <v>32500</v>
      </c>
    </row>
    <row r="6" customFormat="false" ht="15" hidden="false" customHeight="false" outlineLevel="0" collapsed="false">
      <c r="A6" s="4" t="s">
        <v>31</v>
      </c>
      <c r="B6" s="5" t="s">
        <v>32</v>
      </c>
      <c r="C6" s="4" t="s">
        <v>97</v>
      </c>
      <c r="D6" s="6" t="n">
        <v>562500</v>
      </c>
      <c r="E6" s="6" t="n">
        <v>56250</v>
      </c>
    </row>
    <row r="7" customFormat="false" ht="15" hidden="false" customHeight="false" outlineLevel="0" collapsed="false">
      <c r="A7" s="4" t="s">
        <v>36</v>
      </c>
      <c r="B7" s="5" t="s">
        <v>37</v>
      </c>
      <c r="C7" s="4" t="s">
        <v>97</v>
      </c>
      <c r="D7" s="6" t="n">
        <v>562500</v>
      </c>
      <c r="E7" s="6" t="n">
        <v>56250</v>
      </c>
    </row>
    <row r="8" customFormat="false" ht="15" hidden="false" customHeight="false" outlineLevel="0" collapsed="false">
      <c r="A8" s="10" t="s">
        <v>39</v>
      </c>
      <c r="B8" s="11" t="s">
        <v>40</v>
      </c>
      <c r="C8" s="10" t="s">
        <v>99</v>
      </c>
      <c r="D8" s="12" t="n">
        <v>387500</v>
      </c>
      <c r="E8" s="12" t="n">
        <v>38750</v>
      </c>
    </row>
    <row r="9" customFormat="false" ht="15" hidden="false" customHeight="false" outlineLevel="0" collapsed="false">
      <c r="A9" s="10" t="s">
        <v>45</v>
      </c>
      <c r="B9" s="11" t="s">
        <v>46</v>
      </c>
      <c r="C9" s="10" t="s">
        <v>99</v>
      </c>
      <c r="D9" s="12" t="n">
        <v>362500</v>
      </c>
      <c r="E9" s="12" t="n">
        <v>36250</v>
      </c>
    </row>
    <row r="10" customFormat="false" ht="15" hidden="false" customHeight="false" outlineLevel="0" collapsed="false">
      <c r="A10" s="10" t="s">
        <v>49</v>
      </c>
      <c r="B10" s="11" t="s">
        <v>50</v>
      </c>
      <c r="C10" s="10" t="s">
        <v>99</v>
      </c>
      <c r="D10" s="12" t="n">
        <v>412500</v>
      </c>
      <c r="E10" s="12" t="n">
        <v>41250</v>
      </c>
    </row>
    <row r="11" customFormat="false" ht="15" hidden="false" customHeight="false" outlineLevel="0" collapsed="false">
      <c r="A11" s="10" t="s">
        <v>54</v>
      </c>
      <c r="B11" s="11" t="s">
        <v>55</v>
      </c>
      <c r="C11" s="10" t="s">
        <v>99</v>
      </c>
      <c r="D11" s="12" t="n">
        <v>362500</v>
      </c>
      <c r="E11" s="12" t="n">
        <v>36250</v>
      </c>
    </row>
    <row r="12" customFormat="false" ht="15" hidden="false" customHeight="false" outlineLevel="0" collapsed="false">
      <c r="A12" s="13" t="s">
        <v>58</v>
      </c>
      <c r="B12" s="14" t="s">
        <v>59</v>
      </c>
      <c r="C12" s="13" t="s">
        <v>100</v>
      </c>
      <c r="D12" s="15" t="n">
        <v>487500</v>
      </c>
      <c r="E12" s="15" t="n">
        <v>48750</v>
      </c>
    </row>
    <row r="13" customFormat="false" ht="15" hidden="false" customHeight="false" outlineLevel="0" collapsed="false">
      <c r="A13" s="13" t="s">
        <v>64</v>
      </c>
      <c r="B13" s="14" t="s">
        <v>121</v>
      </c>
      <c r="C13" s="13" t="s">
        <v>100</v>
      </c>
      <c r="D13" s="15" t="n">
        <v>362500</v>
      </c>
      <c r="E13" s="15" t="n">
        <v>36250</v>
      </c>
    </row>
    <row r="14" customFormat="false" ht="15" hidden="false" customHeight="false" outlineLevel="0" collapsed="false">
      <c r="A14" s="13" t="s">
        <v>67</v>
      </c>
      <c r="B14" s="14" t="s">
        <v>68</v>
      </c>
      <c r="C14" s="13" t="s">
        <v>100</v>
      </c>
      <c r="D14" s="15" t="n">
        <v>337500</v>
      </c>
      <c r="E14" s="15" t="n">
        <v>33750</v>
      </c>
    </row>
    <row r="15" customFormat="false" ht="15" hidden="false" customHeight="false" outlineLevel="0" collapsed="false">
      <c r="A15" s="13" t="s">
        <v>72</v>
      </c>
      <c r="B15" s="14" t="s">
        <v>73</v>
      </c>
      <c r="C15" s="13" t="s">
        <v>100</v>
      </c>
      <c r="D15" s="15" t="n">
        <v>362500</v>
      </c>
      <c r="E15" s="15" t="n">
        <v>36250</v>
      </c>
    </row>
    <row r="16" customFormat="false" ht="15" hidden="false" customHeight="false" outlineLevel="0" collapsed="false">
      <c r="A16" s="13" t="s">
        <v>75</v>
      </c>
      <c r="B16" s="14" t="s">
        <v>76</v>
      </c>
      <c r="C16" s="13" t="s">
        <v>100</v>
      </c>
      <c r="D16" s="15" t="n">
        <v>362500</v>
      </c>
      <c r="E16" s="15" t="n">
        <v>36250</v>
      </c>
    </row>
    <row r="17" customFormat="false" ht="15" hidden="false" customHeight="false" outlineLevel="0" collapsed="false">
      <c r="A17" s="17" t="s">
        <v>78</v>
      </c>
      <c r="B17" s="18" t="s">
        <v>122</v>
      </c>
      <c r="C17" s="17" t="s">
        <v>101</v>
      </c>
      <c r="D17" s="19" t="n">
        <v>337500</v>
      </c>
      <c r="E17" s="19" t="n">
        <v>33750</v>
      </c>
    </row>
    <row r="18" customFormat="false" ht="15" hidden="false" customHeight="false" outlineLevel="0" collapsed="false">
      <c r="A18" s="17" t="s">
        <v>84</v>
      </c>
      <c r="B18" s="18" t="s">
        <v>123</v>
      </c>
      <c r="C18" s="17" t="s">
        <v>101</v>
      </c>
      <c r="D18" s="19" t="n">
        <v>337500</v>
      </c>
      <c r="E18" s="19" t="n">
        <v>33750</v>
      </c>
    </row>
    <row r="19" customFormat="false" ht="15" hidden="false" customHeight="false" outlineLevel="0" collapsed="false">
      <c r="A19" s="17" t="s">
        <v>87</v>
      </c>
      <c r="B19" s="18" t="s">
        <v>88</v>
      </c>
      <c r="C19" s="17" t="s">
        <v>101</v>
      </c>
      <c r="D19" s="19" t="n">
        <v>337500</v>
      </c>
      <c r="E19" s="19" t="n">
        <v>33750</v>
      </c>
    </row>
    <row r="20" customFormat="false" ht="15" hidden="false" customHeight="false" outlineLevel="0" collapsed="false">
      <c r="A20" s="47" t="s">
        <v>124</v>
      </c>
      <c r="B20" s="47"/>
      <c r="C20" s="47"/>
      <c r="D20" s="21" t="n">
        <f aca="false">SUM(D4:D19)</f>
        <v>6137500</v>
      </c>
      <c r="E20" s="21" t="n">
        <f aca="false">SUM(E4:E19)</f>
        <v>613750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2026-05-05T04:20:49Z</dcterms:created>
  <dc:creator>openpyxl</dc:creator>
  <dc:description/>
  <dc:language>en-US</dc:language>
  <cp:lastModifiedBy/>
  <dcterms:modified xsi:type="dcterms:W3CDTF">2026-05-05T04:20:49Z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