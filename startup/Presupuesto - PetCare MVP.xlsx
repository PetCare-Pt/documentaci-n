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Ejemplo" sheetId="2" r:id="rId5"/>
  </sheets>
  <definedNames/>
  <calcPr/>
  <extLst>
    <ext uri="GoogleSheetsCustomDataVersion2">
      <go:sheetsCustomData xmlns:go="http://customooxmlschemas.google.com/" r:id="rId6" roundtripDataChecksum="j+r1Ikt3tMpvFftdux8DUJxurqlETKlvYBvWVycIJXs="/>
    </ext>
  </extLst>
</workbook>
</file>

<file path=xl/sharedStrings.xml><?xml version="1.0" encoding="utf-8"?>
<sst xmlns="http://schemas.openxmlformats.org/spreadsheetml/2006/main" count="96" uniqueCount="61">
  <si>
    <t>Presupuesto del proyecto</t>
  </si>
  <si>
    <t>Nombre del Proyecto</t>
  </si>
  <si>
    <t>PetCare MVP</t>
  </si>
  <si>
    <t>Mano de Obra</t>
  </si>
  <si>
    <t>Otros Costos</t>
  </si>
  <si>
    <t>Costos Presupuestados</t>
  </si>
  <si>
    <t>Costos Reales</t>
  </si>
  <si>
    <t>BALANCE</t>
  </si>
  <si>
    <t>Horas Hombre (Planeadas)</t>
  </si>
  <si>
    <t>Horas Hombre (Reales)</t>
  </si>
  <si>
    <t>Costo por Hora</t>
  </si>
  <si>
    <t>Costo de Mano de Obra por Tarea (Planeado)</t>
  </si>
  <si>
    <t>Costo de Mano de Obra por Tarea (Real)</t>
  </si>
  <si>
    <t>Costo de oportunidad</t>
  </si>
  <si>
    <t>Costos hundidos</t>
  </si>
  <si>
    <t>Costos Variables</t>
  </si>
  <si>
    <t>Costos Fijos</t>
  </si>
  <si>
    <t>Costos directos</t>
  </si>
  <si>
    <t>Costos indirectos</t>
  </si>
  <si>
    <t>Costos calidad</t>
  </si>
  <si>
    <t>Reserva de Gestión</t>
  </si>
  <si>
    <r>
      <rPr>
        <rFont val="Calibri"/>
        <b/>
        <color rgb="FF008000"/>
        <sz val="11.0"/>
      </rPr>
      <t>Positivo</t>
    </r>
    <r>
      <rPr>
        <rFont val="Calibri"/>
        <b/>
        <color theme="1"/>
        <sz val="11.0"/>
      </rPr>
      <t>/</t>
    </r>
    <r>
      <rPr>
        <rFont val="Calibri"/>
        <b/>
        <color theme="5"/>
        <sz val="11.0"/>
      </rPr>
      <t>Negativo</t>
    </r>
  </si>
  <si>
    <t>Estructura de Desglose del Trabajo (EDT)</t>
  </si>
  <si>
    <t>Tareas de Proyecto</t>
  </si>
  <si>
    <t>Persona/s Asignadas</t>
  </si>
  <si>
    <t>HU-01  Registro de Usuario</t>
  </si>
  <si>
    <t>Harold Alvarado, Andres Daza, Juan Forero, Anthony González</t>
  </si>
  <si>
    <t>HU-02  Inicio de Sesión</t>
  </si>
  <si>
    <t>Andres Daza, Juan Forero, Anthony González</t>
  </si>
  <si>
    <t>HU-08  Creación y Edición de Perfil Profesional</t>
  </si>
  <si>
    <t>HU-07  Creación y Edición de Perfil de Mascota</t>
  </si>
  <si>
    <t>HU-05  Crear Servicio</t>
  </si>
  <si>
    <t>HU-04  Visualizar Servicios</t>
  </si>
  <si>
    <t>Harold Alvarado, Juan Forero, Anthony González</t>
  </si>
  <si>
    <t>HU-06  Administrar Servicios</t>
  </si>
  <si>
    <t>HU-09  Búsqueda y Visualización de Perfiles Profesionales</t>
  </si>
  <si>
    <t>Harold Alvarado, Andres Daza, Anthony González</t>
  </si>
  <si>
    <t>HU-10  Solicitud de Servicio</t>
  </si>
  <si>
    <t>HU-11  Aceptación y Gestión de Solicitudes</t>
  </si>
  <si>
    <t>HU-12  Calificación y Reseñas de Servicios</t>
  </si>
  <si>
    <t>HU-14  Historial y Estadísticas del Proveedor</t>
  </si>
  <si>
    <t>HU-13  Historial de Servicios Solicitados</t>
  </si>
  <si>
    <t>HU-15  Dashboard Administrativo</t>
  </si>
  <si>
    <t>HU-16  Gestión de Usuarios (Administrador)</t>
  </si>
  <si>
    <t>HU-03  Recuperación de Contraseña</t>
  </si>
  <si>
    <t>Villa Hermosa</t>
  </si>
  <si>
    <t>Departamento</t>
  </si>
  <si>
    <t>Construcción</t>
  </si>
  <si>
    <t>Gerente de Proyecto</t>
  </si>
  <si>
    <t>Camilo Tristancho</t>
  </si>
  <si>
    <r>
      <rPr>
        <rFont val="Calibri"/>
        <b/>
        <color rgb="FF008000"/>
        <sz val="11.0"/>
      </rPr>
      <t>Positivo</t>
    </r>
    <r>
      <rPr>
        <rFont val="Calibri"/>
        <b/>
        <color theme="1"/>
        <sz val="11.0"/>
      </rPr>
      <t>/</t>
    </r>
    <r>
      <rPr>
        <rFont val="Calibri"/>
        <b/>
        <color theme="5"/>
        <sz val="11.0"/>
      </rPr>
      <t>Negativo</t>
    </r>
  </si>
  <si>
    <t>Planificación del Proyecto</t>
  </si>
  <si>
    <t>Laura Fernández</t>
  </si>
  <si>
    <t>Obtención de Permisos</t>
  </si>
  <si>
    <t>Juan Pérez</t>
  </si>
  <si>
    <t>Construcción de Cimentación</t>
  </si>
  <si>
    <t>Equipo de Estructuras</t>
  </si>
  <si>
    <t>Excavación del Terreno</t>
  </si>
  <si>
    <t>Luis Moreno</t>
  </si>
  <si>
    <t>Vertido de Concreto</t>
  </si>
  <si>
    <t>Andrea López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</si>
</sst>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&quot;$&quot;#,##0.00_);\(&quot;$&quot;#,##0.00\)"/>
  </numFmts>
  <fonts count="14">
    <font>
      <sz val="11.0"/>
      <color theme="1"/>
      <name val="Calibri"/>
      <scheme val="minor"/>
    </font>
    <font>
      <b/>
      <sz val="18.0"/>
      <color theme="1"/>
      <name val="Calibri"/>
    </font>
    <font/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8.0"/>
      <color rgb="FF1F497D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  <font>
      <sz val="12.0"/>
      <color theme="0"/>
      <name val="Calibri"/>
    </font>
    <font>
      <u/>
      <sz val="11.0"/>
      <color theme="10"/>
      <name val="Calibri"/>
    </font>
    <font>
      <u/>
      <sz val="18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C4BD97"/>
        <bgColor rgb="FFC4BD97"/>
      </patternFill>
    </fill>
    <fill>
      <patternFill patternType="solid">
        <fgColor rgb="FFC6D9F0"/>
        <bgColor rgb="FFC6D9F0"/>
      </patternFill>
    </fill>
    <fill>
      <patternFill patternType="solid">
        <fgColor theme="4"/>
        <bgColor theme="4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/>
      <right/>
      <top style="thin">
        <color rgb="FFC0C0C0"/>
      </top>
      <bottom style="thin">
        <color rgb="FFC0C0C0"/>
      </bottom>
    </border>
    <border>
      <left/>
      <top style="thin">
        <color rgb="FFC0C0C0"/>
      </top>
      <bottom style="thin">
        <color rgb="FFC0C0C0"/>
      </bottom>
    </border>
    <border>
      <right/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3" fontId="4" numFmtId="0" xfId="0" applyAlignment="1" applyBorder="1" applyFill="1" applyFont="1">
      <alignment horizontal="right"/>
    </xf>
    <xf borderId="5" fillId="3" fontId="5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right"/>
    </xf>
    <xf borderId="4" fillId="2" fontId="7" numFmtId="0" xfId="0" applyAlignment="1" applyBorder="1" applyFont="1">
      <alignment horizontal="center"/>
    </xf>
    <xf borderId="1" fillId="4" fontId="8" numFmtId="0" xfId="0" applyAlignment="1" applyBorder="1" applyFill="1" applyFont="1">
      <alignment horizontal="center"/>
    </xf>
    <xf borderId="1" fillId="5" fontId="8" numFmtId="0" xfId="0" applyAlignment="1" applyBorder="1" applyFill="1" applyFont="1">
      <alignment horizontal="center"/>
    </xf>
    <xf borderId="6" fillId="6" fontId="8" numFmtId="0" xfId="0" applyAlignment="1" applyBorder="1" applyFill="1" applyFont="1">
      <alignment horizontal="center" shrinkToFit="0" vertical="center" wrapText="1"/>
    </xf>
    <xf borderId="4" fillId="3" fontId="8" numFmtId="4" xfId="0" applyAlignment="1" applyBorder="1" applyFont="1" applyNumberFormat="1">
      <alignment horizontal="center"/>
    </xf>
    <xf borderId="7" fillId="2" fontId="8" numFmtId="0" xfId="0" applyAlignment="1" applyBorder="1" applyFont="1">
      <alignment horizontal="left"/>
    </xf>
    <xf borderId="7" fillId="2" fontId="8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4" fillId="3" fontId="8" numFmtId="0" xfId="0" applyAlignment="1" applyBorder="1" applyFont="1">
      <alignment horizontal="center" vertical="center"/>
    </xf>
    <xf borderId="9" fillId="7" fontId="9" numFmtId="0" xfId="0" applyAlignment="1" applyBorder="1" applyFill="1" applyFont="1">
      <alignment horizontal="center" shrinkToFit="0" vertical="center" wrapText="1"/>
    </xf>
    <xf borderId="9" fillId="7" fontId="9" numFmtId="164" xfId="0" applyAlignment="1" applyBorder="1" applyFont="1" applyNumberFormat="1">
      <alignment horizontal="center" vertical="center"/>
    </xf>
    <xf borderId="9" fillId="7" fontId="10" numFmtId="164" xfId="0" applyAlignment="1" applyBorder="1" applyFont="1" applyNumberFormat="1">
      <alignment horizontal="left" vertical="center"/>
    </xf>
    <xf borderId="9" fillId="7" fontId="10" numFmtId="165" xfId="0" applyAlignment="1" applyBorder="1" applyFont="1" applyNumberFormat="1">
      <alignment horizontal="left" vertical="center"/>
    </xf>
    <xf borderId="9" fillId="7" fontId="9" numFmtId="165" xfId="0" applyAlignment="1" applyBorder="1" applyFont="1" applyNumberFormat="1">
      <alignment horizontal="center" vertical="center"/>
    </xf>
    <xf borderId="9" fillId="7" fontId="9" numFmtId="165" xfId="0" applyAlignment="1" applyBorder="1" applyFont="1" applyNumberFormat="1">
      <alignment horizontal="left" vertical="center"/>
    </xf>
    <xf borderId="0" fillId="0" fontId="5" numFmtId="0" xfId="0" applyAlignment="1" applyFont="1">
      <alignment horizontal="center" readingOrder="0"/>
    </xf>
    <xf borderId="10" fillId="0" fontId="5" numFmtId="0" xfId="0" applyAlignment="1" applyBorder="1" applyFont="1">
      <alignment readingOrder="0" shrinkToFit="0" vertical="top" wrapText="1"/>
    </xf>
    <xf borderId="10" fillId="0" fontId="5" numFmtId="1" xfId="0" applyAlignment="1" applyBorder="1" applyFont="1" applyNumberFormat="1">
      <alignment horizontal="center" readingOrder="0" shrinkToFit="0" wrapText="1"/>
    </xf>
    <xf borderId="10" fillId="0" fontId="5" numFmtId="165" xfId="0" applyAlignment="1" applyBorder="1" applyFont="1" applyNumberFormat="1">
      <alignment readingOrder="0" shrinkToFit="0" wrapText="1"/>
    </xf>
    <xf borderId="10" fillId="0" fontId="5" numFmtId="165" xfId="0" applyAlignment="1" applyBorder="1" applyFont="1" applyNumberFormat="1">
      <alignment shrinkToFit="0" wrapText="1"/>
    </xf>
    <xf borderId="11" fillId="2" fontId="5" numFmtId="165" xfId="0" applyAlignment="1" applyBorder="1" applyFont="1" applyNumberFormat="1">
      <alignment horizontal="center" readingOrder="0"/>
    </xf>
    <xf borderId="11" fillId="2" fontId="5" numFmtId="165" xfId="0" applyAlignment="1" applyBorder="1" applyFont="1" applyNumberFormat="1">
      <alignment horizontal="center" shrinkToFit="0" wrapText="1"/>
    </xf>
    <xf borderId="11" fillId="8" fontId="5" numFmtId="166" xfId="0" applyAlignment="1" applyBorder="1" applyFill="1" applyFont="1" applyNumberFormat="1">
      <alignment horizontal="right"/>
    </xf>
    <xf borderId="11" fillId="9" fontId="5" numFmtId="166" xfId="0" applyAlignment="1" applyBorder="1" applyFill="1" applyFont="1" applyNumberFormat="1">
      <alignment horizontal="right"/>
    </xf>
    <xf borderId="4" fillId="7" fontId="10" numFmtId="0" xfId="0" applyBorder="1" applyFont="1"/>
    <xf borderId="12" fillId="7" fontId="9" numFmtId="0" xfId="0" applyAlignment="1" applyBorder="1" applyFont="1">
      <alignment horizontal="center"/>
    </xf>
    <xf borderId="13" fillId="0" fontId="2" numFmtId="0" xfId="0" applyBorder="1" applyFont="1"/>
    <xf borderId="11" fillId="7" fontId="9" numFmtId="0" xfId="0" applyAlignment="1" applyBorder="1" applyFont="1">
      <alignment horizontal="center"/>
    </xf>
    <xf borderId="11" fillId="7" fontId="10" numFmtId="167" xfId="0" applyAlignment="1" applyBorder="1" applyFont="1" applyNumberFormat="1">
      <alignment shrinkToFit="0" wrapText="1"/>
    </xf>
    <xf borderId="11" fillId="7" fontId="9" numFmtId="168" xfId="0" applyAlignment="1" applyBorder="1" applyFont="1" applyNumberFormat="1">
      <alignment shrinkToFit="0" wrapText="1"/>
    </xf>
    <xf borderId="11" fillId="7" fontId="9" numFmtId="167" xfId="0" applyAlignment="1" applyBorder="1" applyFont="1" applyNumberFormat="1">
      <alignment shrinkToFit="0" wrapText="1"/>
    </xf>
    <xf borderId="11" fillId="7" fontId="9" numFmtId="165" xfId="0" applyAlignment="1" applyBorder="1" applyFont="1" applyNumberFormat="1">
      <alignment horizontal="center"/>
    </xf>
    <xf borderId="11" fillId="10" fontId="4" numFmtId="165" xfId="0" applyAlignment="1" applyBorder="1" applyFill="1" applyFont="1" applyNumberFormat="1">
      <alignment horizontal="left" shrinkToFit="0" vertical="top" wrapText="1"/>
    </xf>
    <xf borderId="11" fillId="2" fontId="11" numFmtId="0" xfId="0" applyAlignment="1" applyBorder="1" applyFont="1">
      <alignment horizontal="center"/>
    </xf>
    <xf borderId="11" fillId="2" fontId="5" numFmtId="167" xfId="0" applyAlignment="1" applyBorder="1" applyFont="1" applyNumberFormat="1">
      <alignment shrinkToFit="0" wrapText="1"/>
    </xf>
    <xf borderId="11" fillId="2" fontId="5" numFmtId="168" xfId="0" applyAlignment="1" applyBorder="1" applyFont="1" applyNumberFormat="1">
      <alignment shrinkToFit="0" wrapText="1"/>
    </xf>
    <xf borderId="11" fillId="2" fontId="5" numFmtId="166" xfId="0" applyBorder="1" applyFont="1" applyNumberFormat="1"/>
    <xf borderId="4" fillId="2" fontId="11" numFmtId="0" xfId="0" applyAlignment="1" applyBorder="1" applyFont="1">
      <alignment horizontal="center"/>
    </xf>
    <xf borderId="4" fillId="2" fontId="5" numFmtId="167" xfId="0" applyAlignment="1" applyBorder="1" applyFont="1" applyNumberFormat="1">
      <alignment shrinkToFit="0" wrapText="1"/>
    </xf>
    <xf borderId="4" fillId="2" fontId="5" numFmtId="168" xfId="0" applyAlignment="1" applyBorder="1" applyFont="1" applyNumberFormat="1">
      <alignment shrinkToFit="0" wrapText="1"/>
    </xf>
    <xf borderId="4" fillId="2" fontId="5" numFmtId="166" xfId="0" applyBorder="1" applyFont="1" applyNumberFormat="1"/>
    <xf borderId="11" fillId="2" fontId="7" numFmtId="166" xfId="0" applyAlignment="1" applyBorder="1" applyFont="1" applyNumberFormat="1">
      <alignment horizontal="left" shrinkToFit="0" vertical="top" wrapText="1"/>
    </xf>
    <xf borderId="4" fillId="2" fontId="8" numFmtId="0" xfId="0" applyBorder="1" applyFont="1"/>
    <xf borderId="4" fillId="2" fontId="12" numFmtId="0" xfId="0" applyBorder="1" applyFont="1"/>
    <xf borderId="1" fillId="2" fontId="13" numFmtId="0" xfId="0" applyAlignment="1" applyBorder="1" applyFont="1">
      <alignment horizontal="center"/>
    </xf>
    <xf borderId="5" fillId="3" fontId="5" numFmtId="0" xfId="0" applyAlignment="1" applyBorder="1" applyFont="1">
      <alignment horizontal="center"/>
    </xf>
    <xf borderId="5" fillId="0" fontId="4" numFmtId="0" xfId="0" applyAlignment="1" applyBorder="1" applyFont="1">
      <alignment horizontal="right"/>
    </xf>
    <xf borderId="5" fillId="0" fontId="5" numFmtId="0" xfId="0" applyAlignment="1" applyBorder="1" applyFont="1">
      <alignment horizontal="center"/>
    </xf>
    <xf borderId="0" fillId="0" fontId="5" numFmtId="167" xfId="0" applyAlignment="1" applyFont="1" applyNumberFormat="1">
      <alignment horizontal="center"/>
    </xf>
    <xf borderId="10" fillId="0" fontId="5" numFmtId="1" xfId="0" applyAlignment="1" applyBorder="1" applyFont="1" applyNumberFormat="1">
      <alignment horizontal="center" shrinkToFit="0" wrapText="1"/>
    </xf>
    <xf borderId="11" fillId="2" fontId="5" numFmtId="165" xfId="0" applyAlignment="1" applyBorder="1" applyFont="1" applyNumberFormat="1">
      <alignment horizontal="center"/>
    </xf>
    <xf borderId="10" fillId="0" fontId="5" numFmtId="0" xfId="0" applyAlignment="1" applyBorder="1" applyFont="1">
      <alignment shrinkToFit="0" vertical="top" wrapText="1"/>
    </xf>
    <xf borderId="10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71"/>
    <col customWidth="1" min="3" max="3" width="21.71"/>
    <col customWidth="1" min="4" max="8" width="13.71"/>
    <col customWidth="1" min="9" max="9" width="11.86"/>
    <col customWidth="1" min="10" max="11" width="11.57"/>
    <col customWidth="1" min="12" max="12" width="11.86"/>
    <col customWidth="1" min="13" max="16" width="12.14"/>
    <col customWidth="1" min="17" max="17" width="16.14"/>
    <col customWidth="1" min="18" max="18" width="14.29"/>
    <col customWidth="1" min="19" max="19" width="19.86"/>
    <col customWidth="1" min="20" max="39" width="12.0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5.0" customHeight="1">
      <c r="A2" s="5" t="s">
        <v>1</v>
      </c>
      <c r="B2" s="6" t="s">
        <v>2</v>
      </c>
      <c r="C2" s="7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6.5" customHeight="1">
      <c r="A3" s="4"/>
      <c r="B3" s="8"/>
      <c r="C3" s="9"/>
      <c r="D3" s="10" t="s">
        <v>3</v>
      </c>
      <c r="E3" s="2"/>
      <c r="F3" s="2"/>
      <c r="G3" s="2"/>
      <c r="H3" s="3"/>
      <c r="I3" s="11" t="s">
        <v>4</v>
      </c>
      <c r="J3" s="2"/>
      <c r="K3" s="2"/>
      <c r="L3" s="2"/>
      <c r="M3" s="2"/>
      <c r="N3" s="2"/>
      <c r="O3" s="2"/>
      <c r="P3" s="3"/>
      <c r="Q3" s="12" t="s">
        <v>5</v>
      </c>
      <c r="R3" s="12" t="s">
        <v>6</v>
      </c>
      <c r="S3" s="13" t="s">
        <v>7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60.0" customHeight="1">
      <c r="A4" s="4"/>
      <c r="B4" s="14"/>
      <c r="C4" s="15"/>
      <c r="D4" s="16" t="s">
        <v>8</v>
      </c>
      <c r="E4" s="16" t="s">
        <v>9</v>
      </c>
      <c r="F4" s="16" t="s">
        <v>10</v>
      </c>
      <c r="G4" s="16" t="s">
        <v>11</v>
      </c>
      <c r="H4" s="16" t="s">
        <v>12</v>
      </c>
      <c r="I4" s="17" t="s">
        <v>13</v>
      </c>
      <c r="J4" s="17" t="s">
        <v>14</v>
      </c>
      <c r="K4" s="17" t="s">
        <v>15</v>
      </c>
      <c r="L4" s="17" t="s">
        <v>16</v>
      </c>
      <c r="M4" s="17" t="s">
        <v>17</v>
      </c>
      <c r="N4" s="17" t="s">
        <v>18</v>
      </c>
      <c r="O4" s="17" t="s">
        <v>19</v>
      </c>
      <c r="P4" s="17" t="s">
        <v>20</v>
      </c>
      <c r="Q4" s="18"/>
      <c r="R4" s="18"/>
      <c r="S4" s="19" t="s">
        <v>21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ht="48.0" customHeight="1">
      <c r="A5" s="20" t="s">
        <v>22</v>
      </c>
      <c r="B5" s="20" t="s">
        <v>23</v>
      </c>
      <c r="C5" s="21" t="s">
        <v>24</v>
      </c>
      <c r="D5" s="22"/>
      <c r="E5" s="22"/>
      <c r="F5" s="23"/>
      <c r="G5" s="23"/>
      <c r="H5" s="23"/>
      <c r="I5" s="22"/>
      <c r="J5" s="23"/>
      <c r="K5" s="22"/>
      <c r="L5" s="22"/>
      <c r="M5" s="22"/>
      <c r="N5" s="22"/>
      <c r="O5" s="23"/>
      <c r="P5" s="22"/>
      <c r="Q5" s="24">
        <f t="shared" ref="Q5:R5" si="1">SUM(Q6:Q21)</f>
        <v>9820000</v>
      </c>
      <c r="R5" s="24">
        <f t="shared" si="1"/>
        <v>9168750</v>
      </c>
      <c r="S5" s="25">
        <f t="shared" ref="S5:S22" si="2">Q5-R5</f>
        <v>651250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ht="40.5" customHeight="1">
      <c r="A6" s="26">
        <v>1.1</v>
      </c>
      <c r="B6" s="27" t="s">
        <v>25</v>
      </c>
      <c r="C6" s="27" t="s">
        <v>26</v>
      </c>
      <c r="D6" s="28">
        <v>19.0</v>
      </c>
      <c r="E6" s="28">
        <v>18.0</v>
      </c>
      <c r="F6" s="29">
        <v>12500.0</v>
      </c>
      <c r="G6" s="30">
        <f t="shared" ref="G6:G21" si="3">D6*F6</f>
        <v>237500</v>
      </c>
      <c r="H6" s="30">
        <f t="shared" ref="H6:H21" si="4">E6*F6</f>
        <v>225000</v>
      </c>
      <c r="I6" s="30"/>
      <c r="J6" s="30"/>
      <c r="K6" s="30"/>
      <c r="L6" s="30"/>
      <c r="M6" s="30"/>
      <c r="N6" s="29">
        <v>118750.0</v>
      </c>
      <c r="O6" s="30"/>
      <c r="P6" s="30"/>
      <c r="Q6" s="31">
        <v>380000.0</v>
      </c>
      <c r="R6" s="32">
        <f t="shared" ref="R6:R21" si="5">H6+J6+L6+N6+O6+P6</f>
        <v>343750</v>
      </c>
      <c r="S6" s="33">
        <f t="shared" si="2"/>
        <v>36250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ht="28.5" customHeight="1">
      <c r="A7" s="26">
        <v>1.2</v>
      </c>
      <c r="B7" s="27" t="s">
        <v>27</v>
      </c>
      <c r="C7" s="27" t="s">
        <v>28</v>
      </c>
      <c r="D7" s="28">
        <v>26.0</v>
      </c>
      <c r="E7" s="28">
        <v>20.0</v>
      </c>
      <c r="F7" s="29">
        <v>12500.0</v>
      </c>
      <c r="G7" s="30">
        <f t="shared" si="3"/>
        <v>325000</v>
      </c>
      <c r="H7" s="30">
        <f t="shared" si="4"/>
        <v>250000</v>
      </c>
      <c r="I7" s="30"/>
      <c r="J7" s="30"/>
      <c r="K7" s="30"/>
      <c r="L7" s="30"/>
      <c r="M7" s="30"/>
      <c r="N7" s="29">
        <v>162500.0</v>
      </c>
      <c r="O7" s="30"/>
      <c r="P7" s="30"/>
      <c r="Q7" s="31">
        <v>520000.0</v>
      </c>
      <c r="R7" s="32">
        <f t="shared" si="5"/>
        <v>412500</v>
      </c>
      <c r="S7" s="34">
        <f t="shared" si="2"/>
        <v>107500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ht="38.25" customHeight="1">
      <c r="A8" s="26">
        <v>1.3</v>
      </c>
      <c r="B8" s="27" t="s">
        <v>29</v>
      </c>
      <c r="C8" s="27" t="s">
        <v>26</v>
      </c>
      <c r="D8" s="28">
        <v>45.0</v>
      </c>
      <c r="E8" s="28">
        <v>42.0</v>
      </c>
      <c r="F8" s="29">
        <v>12500.0</v>
      </c>
      <c r="G8" s="30">
        <f t="shared" si="3"/>
        <v>562500</v>
      </c>
      <c r="H8" s="30">
        <f t="shared" si="4"/>
        <v>525000</v>
      </c>
      <c r="I8" s="30"/>
      <c r="J8" s="30"/>
      <c r="K8" s="30"/>
      <c r="L8" s="30"/>
      <c r="M8" s="30"/>
      <c r="N8" s="29">
        <v>281250.0</v>
      </c>
      <c r="O8" s="30"/>
      <c r="P8" s="30"/>
      <c r="Q8" s="31">
        <v>900000.0</v>
      </c>
      <c r="R8" s="32">
        <f t="shared" si="5"/>
        <v>806250</v>
      </c>
      <c r="S8" s="34">
        <f t="shared" si="2"/>
        <v>93750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ht="39.0" customHeight="1">
      <c r="A9" s="26">
        <v>1.4</v>
      </c>
      <c r="B9" s="27" t="s">
        <v>30</v>
      </c>
      <c r="C9" s="27" t="s">
        <v>26</v>
      </c>
      <c r="D9" s="28">
        <v>45.0</v>
      </c>
      <c r="E9" s="28">
        <v>43.0</v>
      </c>
      <c r="F9" s="29">
        <v>12500.0</v>
      </c>
      <c r="G9" s="30">
        <f t="shared" si="3"/>
        <v>562500</v>
      </c>
      <c r="H9" s="30">
        <f t="shared" si="4"/>
        <v>537500</v>
      </c>
      <c r="I9" s="30"/>
      <c r="J9" s="30"/>
      <c r="K9" s="30"/>
      <c r="L9" s="30"/>
      <c r="M9" s="30"/>
      <c r="N9" s="29">
        <v>281250.0</v>
      </c>
      <c r="O9" s="30"/>
      <c r="P9" s="30"/>
      <c r="Q9" s="31">
        <v>900000.0</v>
      </c>
      <c r="R9" s="32">
        <f t="shared" si="5"/>
        <v>818750</v>
      </c>
      <c r="S9" s="34">
        <f t="shared" si="2"/>
        <v>81250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ht="38.25" customHeight="1">
      <c r="A10" s="26">
        <v>2.1</v>
      </c>
      <c r="B10" s="27" t="s">
        <v>31</v>
      </c>
      <c r="C10" s="27" t="s">
        <v>26</v>
      </c>
      <c r="D10" s="28">
        <v>31.0</v>
      </c>
      <c r="E10" s="28">
        <v>30.0</v>
      </c>
      <c r="F10" s="29">
        <v>12500.0</v>
      </c>
      <c r="G10" s="30">
        <f t="shared" si="3"/>
        <v>387500</v>
      </c>
      <c r="H10" s="30">
        <f t="shared" si="4"/>
        <v>375000</v>
      </c>
      <c r="I10" s="30"/>
      <c r="J10" s="30"/>
      <c r="K10" s="30"/>
      <c r="L10" s="30"/>
      <c r="M10" s="30"/>
      <c r="N10" s="29">
        <v>193750.0</v>
      </c>
      <c r="O10" s="30"/>
      <c r="P10" s="30"/>
      <c r="Q10" s="31">
        <v>620000.0</v>
      </c>
      <c r="R10" s="32">
        <f t="shared" si="5"/>
        <v>568750</v>
      </c>
      <c r="S10" s="34">
        <f t="shared" si="2"/>
        <v>51250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ht="26.25" customHeight="1">
      <c r="A11" s="26">
        <v>2.2</v>
      </c>
      <c r="B11" s="27" t="s">
        <v>32</v>
      </c>
      <c r="C11" s="27" t="s">
        <v>33</v>
      </c>
      <c r="D11" s="28">
        <v>29.0</v>
      </c>
      <c r="E11" s="28">
        <v>26.0</v>
      </c>
      <c r="F11" s="29">
        <v>12500.0</v>
      </c>
      <c r="G11" s="30">
        <f t="shared" si="3"/>
        <v>362500</v>
      </c>
      <c r="H11" s="30">
        <f t="shared" si="4"/>
        <v>325000</v>
      </c>
      <c r="I11" s="30"/>
      <c r="J11" s="30"/>
      <c r="K11" s="30"/>
      <c r="L11" s="30"/>
      <c r="M11" s="30"/>
      <c r="N11" s="29">
        <v>181250.0</v>
      </c>
      <c r="O11" s="30"/>
      <c r="P11" s="30"/>
      <c r="Q11" s="31">
        <v>580000.0</v>
      </c>
      <c r="R11" s="32">
        <f t="shared" si="5"/>
        <v>506250</v>
      </c>
      <c r="S11" s="34">
        <f t="shared" si="2"/>
        <v>73750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ht="38.25" customHeight="1">
      <c r="A12" s="26">
        <v>2.3</v>
      </c>
      <c r="B12" s="27" t="s">
        <v>34</v>
      </c>
      <c r="C12" s="27" t="s">
        <v>26</v>
      </c>
      <c r="D12" s="28">
        <v>33.0</v>
      </c>
      <c r="E12" s="28">
        <v>35.0</v>
      </c>
      <c r="F12" s="29">
        <v>12500.0</v>
      </c>
      <c r="G12" s="30">
        <f t="shared" si="3"/>
        <v>412500</v>
      </c>
      <c r="H12" s="30">
        <f t="shared" si="4"/>
        <v>437500</v>
      </c>
      <c r="I12" s="30"/>
      <c r="J12" s="30"/>
      <c r="K12" s="30"/>
      <c r="L12" s="30"/>
      <c r="M12" s="30"/>
      <c r="N12" s="29">
        <v>206250.0</v>
      </c>
      <c r="O12" s="30"/>
      <c r="P12" s="30"/>
      <c r="Q12" s="31">
        <v>660000.0</v>
      </c>
      <c r="R12" s="32">
        <f t="shared" si="5"/>
        <v>643750</v>
      </c>
      <c r="S12" s="34">
        <f t="shared" si="2"/>
        <v>16250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ht="26.25" customHeight="1">
      <c r="A13" s="26">
        <v>2.4</v>
      </c>
      <c r="B13" s="27" t="s">
        <v>35</v>
      </c>
      <c r="C13" s="27" t="s">
        <v>36</v>
      </c>
      <c r="D13" s="28">
        <v>29.0</v>
      </c>
      <c r="E13" s="28">
        <v>29.0</v>
      </c>
      <c r="F13" s="29">
        <v>12500.0</v>
      </c>
      <c r="G13" s="30">
        <f t="shared" si="3"/>
        <v>362500</v>
      </c>
      <c r="H13" s="30">
        <f t="shared" si="4"/>
        <v>362500</v>
      </c>
      <c r="I13" s="30"/>
      <c r="J13" s="30"/>
      <c r="K13" s="30"/>
      <c r="L13" s="30"/>
      <c r="M13" s="30"/>
      <c r="N13" s="29">
        <v>181250.0</v>
      </c>
      <c r="O13" s="30"/>
      <c r="P13" s="30"/>
      <c r="Q13" s="31">
        <v>580000.0</v>
      </c>
      <c r="R13" s="32">
        <f t="shared" si="5"/>
        <v>543750</v>
      </c>
      <c r="S13" s="34">
        <f t="shared" si="2"/>
        <v>36250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ht="38.25" customHeight="1">
      <c r="A14" s="26">
        <v>3.1</v>
      </c>
      <c r="B14" s="27" t="s">
        <v>37</v>
      </c>
      <c r="C14" s="27" t="s">
        <v>26</v>
      </c>
      <c r="D14" s="28">
        <v>39.0</v>
      </c>
      <c r="E14" s="28">
        <v>52.0</v>
      </c>
      <c r="F14" s="29">
        <v>12500.0</v>
      </c>
      <c r="G14" s="30">
        <f t="shared" si="3"/>
        <v>487500</v>
      </c>
      <c r="H14" s="30">
        <f t="shared" si="4"/>
        <v>650000</v>
      </c>
      <c r="I14" s="29">
        <v>187500.0</v>
      </c>
      <c r="J14" s="30"/>
      <c r="K14" s="30"/>
      <c r="L14" s="30"/>
      <c r="M14" s="30"/>
      <c r="N14" s="29">
        <v>243750.0</v>
      </c>
      <c r="O14" s="30"/>
      <c r="P14" s="30"/>
      <c r="Q14" s="31">
        <v>780000.0</v>
      </c>
      <c r="R14" s="32">
        <f t="shared" si="5"/>
        <v>893750</v>
      </c>
      <c r="S14" s="34">
        <f t="shared" si="2"/>
        <v>-113750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27.75" customHeight="1">
      <c r="A15" s="26">
        <v>3.2</v>
      </c>
      <c r="B15" s="27" t="s">
        <v>38</v>
      </c>
      <c r="C15" s="27" t="s">
        <v>33</v>
      </c>
      <c r="D15" s="28">
        <v>29.0</v>
      </c>
      <c r="E15" s="28">
        <v>27.0</v>
      </c>
      <c r="F15" s="29">
        <v>12500.0</v>
      </c>
      <c r="G15" s="30">
        <f t="shared" si="3"/>
        <v>362500</v>
      </c>
      <c r="H15" s="30">
        <f t="shared" si="4"/>
        <v>337500</v>
      </c>
      <c r="I15" s="29"/>
      <c r="J15" s="30"/>
      <c r="K15" s="30"/>
      <c r="L15" s="30"/>
      <c r="M15" s="30"/>
      <c r="N15" s="29">
        <v>181250.0</v>
      </c>
      <c r="O15" s="30"/>
      <c r="P15" s="30"/>
      <c r="Q15" s="31">
        <v>580000.0</v>
      </c>
      <c r="R15" s="32">
        <f t="shared" si="5"/>
        <v>518750</v>
      </c>
      <c r="S15" s="34">
        <f t="shared" si="2"/>
        <v>61250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39.0" customHeight="1">
      <c r="A16" s="26">
        <v>3.3</v>
      </c>
      <c r="B16" s="27" t="s">
        <v>39</v>
      </c>
      <c r="C16" s="27" t="s">
        <v>26</v>
      </c>
      <c r="D16" s="28">
        <v>27.0</v>
      </c>
      <c r="E16" s="28">
        <v>28.0</v>
      </c>
      <c r="F16" s="29">
        <v>12500.0</v>
      </c>
      <c r="G16" s="30">
        <f t="shared" si="3"/>
        <v>337500</v>
      </c>
      <c r="H16" s="30">
        <f t="shared" si="4"/>
        <v>350000</v>
      </c>
      <c r="I16" s="29"/>
      <c r="J16" s="30"/>
      <c r="K16" s="30"/>
      <c r="L16" s="30"/>
      <c r="M16" s="30"/>
      <c r="N16" s="29">
        <v>168750.0</v>
      </c>
      <c r="O16" s="30"/>
      <c r="P16" s="30"/>
      <c r="Q16" s="31">
        <v>540000.0</v>
      </c>
      <c r="R16" s="32">
        <f t="shared" si="5"/>
        <v>518750</v>
      </c>
      <c r="S16" s="34">
        <f t="shared" si="2"/>
        <v>21250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27.75" customHeight="1">
      <c r="A17" s="26">
        <v>3.4</v>
      </c>
      <c r="B17" s="27" t="s">
        <v>40</v>
      </c>
      <c r="C17" s="27" t="s">
        <v>36</v>
      </c>
      <c r="D17" s="28">
        <v>29.0</v>
      </c>
      <c r="E17" s="28">
        <v>28.0</v>
      </c>
      <c r="F17" s="29">
        <v>12500.0</v>
      </c>
      <c r="G17" s="30">
        <f t="shared" si="3"/>
        <v>362500</v>
      </c>
      <c r="H17" s="30">
        <f t="shared" si="4"/>
        <v>350000</v>
      </c>
      <c r="I17" s="29"/>
      <c r="J17" s="30"/>
      <c r="K17" s="30"/>
      <c r="L17" s="30"/>
      <c r="M17" s="30"/>
      <c r="N17" s="29">
        <v>181250.0</v>
      </c>
      <c r="O17" s="30"/>
      <c r="P17" s="30"/>
      <c r="Q17" s="31">
        <v>580000.0</v>
      </c>
      <c r="R17" s="32">
        <f t="shared" si="5"/>
        <v>531250</v>
      </c>
      <c r="S17" s="34">
        <f t="shared" si="2"/>
        <v>48750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ht="27.75" customHeight="1">
      <c r="A18" s="26">
        <v>3.5</v>
      </c>
      <c r="B18" s="27" t="s">
        <v>41</v>
      </c>
      <c r="C18" s="27" t="s">
        <v>36</v>
      </c>
      <c r="D18" s="28">
        <v>29.0</v>
      </c>
      <c r="E18" s="28">
        <v>29.0</v>
      </c>
      <c r="F18" s="29">
        <v>12500.0</v>
      </c>
      <c r="G18" s="30">
        <f t="shared" si="3"/>
        <v>362500</v>
      </c>
      <c r="H18" s="30">
        <f t="shared" si="4"/>
        <v>362500</v>
      </c>
      <c r="I18" s="29"/>
      <c r="J18" s="30"/>
      <c r="K18" s="30"/>
      <c r="L18" s="30"/>
      <c r="M18" s="30"/>
      <c r="N18" s="29">
        <v>181250.0</v>
      </c>
      <c r="O18" s="30"/>
      <c r="P18" s="30"/>
      <c r="Q18" s="31">
        <v>580000.0</v>
      </c>
      <c r="R18" s="32">
        <f t="shared" si="5"/>
        <v>543750</v>
      </c>
      <c r="S18" s="34">
        <f t="shared" si="2"/>
        <v>36250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ht="39.75" customHeight="1">
      <c r="A19" s="26">
        <v>4.1</v>
      </c>
      <c r="B19" s="27" t="s">
        <v>42</v>
      </c>
      <c r="C19" s="27" t="s">
        <v>26</v>
      </c>
      <c r="D19" s="28">
        <v>27.0</v>
      </c>
      <c r="E19" s="28">
        <v>27.0</v>
      </c>
      <c r="F19" s="29">
        <v>12500.0</v>
      </c>
      <c r="G19" s="30">
        <f t="shared" si="3"/>
        <v>337500</v>
      </c>
      <c r="H19" s="30">
        <f t="shared" si="4"/>
        <v>337500</v>
      </c>
      <c r="I19" s="29"/>
      <c r="J19" s="30"/>
      <c r="K19" s="30"/>
      <c r="L19" s="30"/>
      <c r="M19" s="30"/>
      <c r="N19" s="29">
        <v>168750.0</v>
      </c>
      <c r="O19" s="30"/>
      <c r="P19" s="30"/>
      <c r="Q19" s="31">
        <v>540000.0</v>
      </c>
      <c r="R19" s="32">
        <f t="shared" si="5"/>
        <v>506250</v>
      </c>
      <c r="S19" s="34">
        <f t="shared" si="2"/>
        <v>33750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ht="37.5" customHeight="1">
      <c r="A20" s="26">
        <v>4.2</v>
      </c>
      <c r="B20" s="27" t="s">
        <v>43</v>
      </c>
      <c r="C20" s="27" t="s">
        <v>26</v>
      </c>
      <c r="D20" s="28">
        <v>27.0</v>
      </c>
      <c r="E20" s="28">
        <v>27.0</v>
      </c>
      <c r="F20" s="29">
        <v>12500.0</v>
      </c>
      <c r="G20" s="30">
        <f t="shared" si="3"/>
        <v>337500</v>
      </c>
      <c r="H20" s="30">
        <f t="shared" si="4"/>
        <v>337500</v>
      </c>
      <c r="I20" s="29"/>
      <c r="J20" s="30"/>
      <c r="K20" s="30"/>
      <c r="L20" s="30"/>
      <c r="M20" s="30"/>
      <c r="N20" s="29">
        <v>168750.0</v>
      </c>
      <c r="O20" s="30"/>
      <c r="P20" s="30"/>
      <c r="Q20" s="31">
        <v>540000.0</v>
      </c>
      <c r="R20" s="32">
        <f t="shared" si="5"/>
        <v>506250</v>
      </c>
      <c r="S20" s="34">
        <f t="shared" si="2"/>
        <v>33750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42.0" customHeight="1">
      <c r="A21" s="26">
        <v>4.3</v>
      </c>
      <c r="B21" s="27" t="s">
        <v>44</v>
      </c>
      <c r="C21" s="27" t="s">
        <v>26</v>
      </c>
      <c r="D21" s="28">
        <v>27.0</v>
      </c>
      <c r="E21" s="28">
        <v>27.0</v>
      </c>
      <c r="F21" s="29">
        <v>12500.0</v>
      </c>
      <c r="G21" s="30">
        <f t="shared" si="3"/>
        <v>337500</v>
      </c>
      <c r="H21" s="30">
        <f t="shared" si="4"/>
        <v>337500</v>
      </c>
      <c r="I21" s="29"/>
      <c r="J21" s="30"/>
      <c r="K21" s="30"/>
      <c r="L21" s="30"/>
      <c r="M21" s="30"/>
      <c r="N21" s="29">
        <v>168750.0</v>
      </c>
      <c r="O21" s="30"/>
      <c r="P21" s="30"/>
      <c r="Q21" s="31">
        <v>540000.0</v>
      </c>
      <c r="R21" s="32">
        <f t="shared" si="5"/>
        <v>506250</v>
      </c>
      <c r="S21" s="34">
        <f t="shared" si="2"/>
        <v>33750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35"/>
      <c r="B22" s="36"/>
      <c r="C22" s="37"/>
      <c r="D22" s="38"/>
      <c r="E22" s="39"/>
      <c r="F22" s="40"/>
      <c r="G22" s="40"/>
      <c r="H22" s="40"/>
      <c r="I22" s="41"/>
      <c r="J22" s="40"/>
      <c r="K22" s="41"/>
      <c r="L22" s="41"/>
      <c r="M22" s="41"/>
      <c r="N22" s="41"/>
      <c r="O22" s="40"/>
      <c r="P22" s="41"/>
      <c r="Q22" s="42">
        <f t="shared" ref="Q22:R22" si="6">SUM(Q6:Q21)</f>
        <v>9820000</v>
      </c>
      <c r="R22" s="42">
        <f t="shared" si="6"/>
        <v>9168750</v>
      </c>
      <c r="S22" s="43">
        <f t="shared" si="2"/>
        <v>651250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>
      <c r="A23" s="4"/>
      <c r="B23" s="44"/>
      <c r="C23" s="44"/>
      <c r="D23" s="44"/>
      <c r="E23" s="45"/>
      <c r="F23" s="46"/>
      <c r="G23" s="46"/>
      <c r="H23" s="46"/>
      <c r="I23" s="45"/>
      <c r="J23" s="46"/>
      <c r="K23" s="45"/>
      <c r="L23" s="45"/>
      <c r="M23" s="45"/>
      <c r="N23" s="45"/>
      <c r="O23" s="46"/>
      <c r="P23" s="45"/>
      <c r="Q23" s="47"/>
      <c r="R23" s="46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>
      <c r="A24" s="4"/>
      <c r="B24" s="48"/>
      <c r="C24" s="48"/>
      <c r="D24" s="48"/>
      <c r="E24" s="49"/>
      <c r="F24" s="50"/>
      <c r="G24" s="50"/>
      <c r="H24" s="50"/>
      <c r="I24" s="49"/>
      <c r="J24" s="50"/>
      <c r="K24" s="49"/>
      <c r="L24" s="49"/>
      <c r="M24" s="49"/>
      <c r="N24" s="49"/>
      <c r="O24" s="50"/>
      <c r="P24" s="49"/>
      <c r="Q24" s="51"/>
      <c r="R24" s="50"/>
      <c r="S24" s="52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5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5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5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5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4"/>
      <c r="B37" s="5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7">
    <mergeCell ref="A1:S1"/>
    <mergeCell ref="D3:H3"/>
    <mergeCell ref="I3:P3"/>
    <mergeCell ref="Q3:Q4"/>
    <mergeCell ref="R3:R4"/>
    <mergeCell ref="B22:C22"/>
    <mergeCell ref="B37:S37"/>
  </mergeCells>
  <conditionalFormatting sqref="S6:S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 S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71"/>
    <col customWidth="1" min="3" max="3" width="21.71"/>
    <col customWidth="1" min="4" max="8" width="13.71"/>
    <col customWidth="1" min="9" max="9" width="10.86"/>
    <col customWidth="1" min="10" max="11" width="11.57"/>
    <col customWidth="1" min="12" max="12" width="11.86"/>
    <col customWidth="1" min="13" max="16" width="12.14"/>
    <col customWidth="1" min="17" max="17" width="16.14"/>
    <col customWidth="1" min="18" max="18" width="11.71"/>
    <col customWidth="1" min="19" max="19" width="19.86"/>
    <col customWidth="1" min="20" max="39" width="12.0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5.0" customHeight="1">
      <c r="A2" s="5" t="s">
        <v>1</v>
      </c>
      <c r="B2" s="56" t="s">
        <v>45</v>
      </c>
      <c r="C2" s="7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5.0" customHeight="1">
      <c r="A3" s="57" t="s">
        <v>46</v>
      </c>
      <c r="B3" s="58" t="s">
        <v>47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5.0" customHeight="1">
      <c r="A4" s="57" t="s">
        <v>48</v>
      </c>
      <c r="B4" s="58" t="s">
        <v>49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ht="16.5" customHeight="1">
      <c r="A5" s="4"/>
      <c r="B5" s="8"/>
      <c r="C5" s="9"/>
      <c r="D5" s="10" t="s">
        <v>3</v>
      </c>
      <c r="E5" s="2"/>
      <c r="F5" s="2"/>
      <c r="G5" s="2"/>
      <c r="H5" s="3"/>
      <c r="I5" s="11" t="s">
        <v>4</v>
      </c>
      <c r="J5" s="2"/>
      <c r="K5" s="2"/>
      <c r="L5" s="2"/>
      <c r="M5" s="2"/>
      <c r="N5" s="2"/>
      <c r="O5" s="2"/>
      <c r="P5" s="3"/>
      <c r="Q5" s="12" t="s">
        <v>5</v>
      </c>
      <c r="R5" s="12" t="s">
        <v>6</v>
      </c>
      <c r="S5" s="13" t="s">
        <v>7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ht="60.0" customHeight="1">
      <c r="A6" s="4"/>
      <c r="B6" s="14"/>
      <c r="C6" s="15"/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7" t="s">
        <v>13</v>
      </c>
      <c r="J6" s="17" t="s">
        <v>14</v>
      </c>
      <c r="K6" s="17" t="s">
        <v>15</v>
      </c>
      <c r="L6" s="17" t="s">
        <v>16</v>
      </c>
      <c r="M6" s="17" t="s">
        <v>17</v>
      </c>
      <c r="N6" s="17" t="s">
        <v>18</v>
      </c>
      <c r="O6" s="17" t="s">
        <v>19</v>
      </c>
      <c r="P6" s="17" t="s">
        <v>20</v>
      </c>
      <c r="Q6" s="18"/>
      <c r="R6" s="18"/>
      <c r="S6" s="19" t="s">
        <v>50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ht="48.0" customHeight="1">
      <c r="A7" s="20" t="s">
        <v>22</v>
      </c>
      <c r="B7" s="20" t="s">
        <v>23</v>
      </c>
      <c r="C7" s="21" t="s">
        <v>24</v>
      </c>
      <c r="D7" s="22"/>
      <c r="E7" s="22"/>
      <c r="F7" s="23"/>
      <c r="G7" s="23"/>
      <c r="H7" s="23"/>
      <c r="I7" s="22"/>
      <c r="J7" s="23"/>
      <c r="K7" s="22"/>
      <c r="L7" s="22"/>
      <c r="M7" s="22"/>
      <c r="N7" s="22"/>
      <c r="O7" s="23"/>
      <c r="P7" s="22"/>
      <c r="Q7" s="24">
        <f t="shared" ref="Q7:R7" si="1">SUM(Q8:Q13)</f>
        <v>61740</v>
      </c>
      <c r="R7" s="24">
        <f t="shared" si="1"/>
        <v>68110</v>
      </c>
      <c r="S7" s="25">
        <f t="shared" ref="S7:S14" si="2">Q7-R7</f>
        <v>-6370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ht="15.0" customHeight="1">
      <c r="A8" s="59">
        <v>1.0</v>
      </c>
      <c r="B8" s="27" t="s">
        <v>51</v>
      </c>
      <c r="C8" s="27" t="s">
        <v>52</v>
      </c>
      <c r="D8" s="60">
        <v>8.0</v>
      </c>
      <c r="E8" s="60">
        <v>8.0</v>
      </c>
      <c r="F8" s="30">
        <v>30.0</v>
      </c>
      <c r="G8" s="30">
        <f t="shared" ref="G8:G13" si="3">D8*F8</f>
        <v>240</v>
      </c>
      <c r="H8" s="30">
        <f t="shared" ref="H8:H13" si="4">E8*F8</f>
        <v>240</v>
      </c>
      <c r="I8" s="30">
        <v>3000.0</v>
      </c>
      <c r="J8" s="30">
        <v>3500.0</v>
      </c>
      <c r="K8" s="30"/>
      <c r="L8" s="30"/>
      <c r="M8" s="30"/>
      <c r="N8" s="30"/>
      <c r="O8" s="30">
        <v>50.0</v>
      </c>
      <c r="P8" s="30"/>
      <c r="Q8" s="61">
        <f t="shared" ref="Q8:Q13" si="5">G8+I8+K8+M8+O8+P8</f>
        <v>3290</v>
      </c>
      <c r="R8" s="32">
        <f t="shared" ref="R8:R13" si="6">H8+J8+L8+N8+O8+P8</f>
        <v>3790</v>
      </c>
      <c r="S8" s="33">
        <f t="shared" si="2"/>
        <v>-500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ht="15.75" customHeight="1">
      <c r="A9" s="59">
        <v>2.0</v>
      </c>
      <c r="B9" s="62" t="s">
        <v>53</v>
      </c>
      <c r="C9" s="62" t="s">
        <v>54</v>
      </c>
      <c r="D9" s="60">
        <v>8.0</v>
      </c>
      <c r="E9" s="60">
        <v>8.0</v>
      </c>
      <c r="F9" s="30">
        <v>15.0</v>
      </c>
      <c r="G9" s="30">
        <f t="shared" si="3"/>
        <v>120</v>
      </c>
      <c r="H9" s="30">
        <f t="shared" si="4"/>
        <v>120</v>
      </c>
      <c r="I9" s="30">
        <v>2000.0</v>
      </c>
      <c r="J9" s="30">
        <v>1900.0</v>
      </c>
      <c r="K9" s="30">
        <v>30.0</v>
      </c>
      <c r="L9" s="30"/>
      <c r="M9" s="30"/>
      <c r="N9" s="30"/>
      <c r="O9" s="30">
        <v>100.0</v>
      </c>
      <c r="P9" s="30"/>
      <c r="Q9" s="61">
        <f t="shared" si="5"/>
        <v>2250</v>
      </c>
      <c r="R9" s="32">
        <f t="shared" si="6"/>
        <v>2120</v>
      </c>
      <c r="S9" s="34">
        <f t="shared" si="2"/>
        <v>130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ht="15.75" customHeight="1">
      <c r="A10" s="59">
        <v>3.0</v>
      </c>
      <c r="B10" s="62" t="s">
        <v>55</v>
      </c>
      <c r="C10" s="62" t="s">
        <v>56</v>
      </c>
      <c r="D10" s="60">
        <v>300.0</v>
      </c>
      <c r="E10" s="60">
        <v>350.0</v>
      </c>
      <c r="F10" s="30">
        <v>15.0</v>
      </c>
      <c r="G10" s="30">
        <f t="shared" si="3"/>
        <v>4500</v>
      </c>
      <c r="H10" s="30">
        <f t="shared" si="4"/>
        <v>5250</v>
      </c>
      <c r="I10" s="30">
        <v>15000.0</v>
      </c>
      <c r="J10" s="30">
        <v>20000.0</v>
      </c>
      <c r="K10" s="30">
        <v>5000.0</v>
      </c>
      <c r="L10" s="30">
        <v>5200.0</v>
      </c>
      <c r="M10" s="30">
        <v>1000.0</v>
      </c>
      <c r="N10" s="30">
        <v>1050.0</v>
      </c>
      <c r="O10" s="30">
        <v>2000.0</v>
      </c>
      <c r="P10" s="30">
        <v>2500.0</v>
      </c>
      <c r="Q10" s="61">
        <f t="shared" si="5"/>
        <v>30000</v>
      </c>
      <c r="R10" s="32">
        <f t="shared" si="6"/>
        <v>36000</v>
      </c>
      <c r="S10" s="34">
        <f t="shared" si="2"/>
        <v>-6000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ht="15.75" customHeight="1">
      <c r="A11" s="59">
        <v>3.1</v>
      </c>
      <c r="B11" s="62" t="s">
        <v>57</v>
      </c>
      <c r="C11" s="62" t="s">
        <v>58</v>
      </c>
      <c r="D11" s="60"/>
      <c r="E11" s="60"/>
      <c r="F11" s="30"/>
      <c r="G11" s="30">
        <f t="shared" si="3"/>
        <v>0</v>
      </c>
      <c r="H11" s="30">
        <f t="shared" si="4"/>
        <v>0</v>
      </c>
      <c r="I11" s="30">
        <v>8000.0</v>
      </c>
      <c r="J11" s="30">
        <v>8200.0</v>
      </c>
      <c r="K11" s="30">
        <v>2500.0</v>
      </c>
      <c r="L11" s="30">
        <v>2600.0</v>
      </c>
      <c r="M11" s="30">
        <v>600.0</v>
      </c>
      <c r="N11" s="30">
        <v>620.0</v>
      </c>
      <c r="O11" s="30">
        <v>1000.0</v>
      </c>
      <c r="P11" s="30">
        <v>1200.0</v>
      </c>
      <c r="Q11" s="61">
        <f t="shared" si="5"/>
        <v>13300</v>
      </c>
      <c r="R11" s="32">
        <f t="shared" si="6"/>
        <v>13620</v>
      </c>
      <c r="S11" s="34">
        <f t="shared" si="2"/>
        <v>-320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ht="15.75" customHeight="1">
      <c r="A12" s="59">
        <v>3.2</v>
      </c>
      <c r="B12" s="62" t="s">
        <v>59</v>
      </c>
      <c r="C12" s="62" t="s">
        <v>60</v>
      </c>
      <c r="D12" s="60"/>
      <c r="E12" s="60"/>
      <c r="F12" s="30"/>
      <c r="G12" s="30">
        <f t="shared" si="3"/>
        <v>0</v>
      </c>
      <c r="H12" s="30">
        <f t="shared" si="4"/>
        <v>0</v>
      </c>
      <c r="I12" s="30">
        <v>7000.0</v>
      </c>
      <c r="J12" s="30">
        <v>6800.0</v>
      </c>
      <c r="K12" s="30">
        <v>2500.0</v>
      </c>
      <c r="L12" s="30">
        <v>2400.0</v>
      </c>
      <c r="M12" s="30">
        <v>700.0</v>
      </c>
      <c r="N12" s="30">
        <v>680.0</v>
      </c>
      <c r="O12" s="30">
        <v>1200.0</v>
      </c>
      <c r="P12" s="30">
        <v>1500.0</v>
      </c>
      <c r="Q12" s="61">
        <f t="shared" si="5"/>
        <v>12900</v>
      </c>
      <c r="R12" s="32">
        <f t="shared" si="6"/>
        <v>12580</v>
      </c>
      <c r="S12" s="34">
        <f t="shared" si="2"/>
        <v>320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ht="15.75" customHeight="1">
      <c r="A13" s="59"/>
      <c r="B13" s="63"/>
      <c r="C13" s="63"/>
      <c r="D13" s="60"/>
      <c r="E13" s="60"/>
      <c r="F13" s="30"/>
      <c r="G13" s="30">
        <f t="shared" si="3"/>
        <v>0</v>
      </c>
      <c r="H13" s="30">
        <f t="shared" si="4"/>
        <v>0</v>
      </c>
      <c r="I13" s="30"/>
      <c r="J13" s="30"/>
      <c r="K13" s="30"/>
      <c r="L13" s="30"/>
      <c r="M13" s="30"/>
      <c r="N13" s="30"/>
      <c r="O13" s="30"/>
      <c r="P13" s="30"/>
      <c r="Q13" s="61">
        <f t="shared" si="5"/>
        <v>0</v>
      </c>
      <c r="R13" s="32">
        <f t="shared" si="6"/>
        <v>0</v>
      </c>
      <c r="S13" s="34">
        <f t="shared" si="2"/>
        <v>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>
      <c r="A14" s="35"/>
      <c r="B14" s="36"/>
      <c r="C14" s="37"/>
      <c r="D14" s="38"/>
      <c r="E14" s="39"/>
      <c r="F14" s="40"/>
      <c r="G14" s="40"/>
      <c r="H14" s="40"/>
      <c r="I14" s="41"/>
      <c r="J14" s="40"/>
      <c r="K14" s="41"/>
      <c r="L14" s="41"/>
      <c r="M14" s="41"/>
      <c r="N14" s="41"/>
      <c r="O14" s="40"/>
      <c r="P14" s="41"/>
      <c r="Q14" s="42">
        <f t="shared" ref="Q14:R14" si="7">SUM(Q8:Q13)</f>
        <v>61740</v>
      </c>
      <c r="R14" s="42">
        <f t="shared" si="7"/>
        <v>68110</v>
      </c>
      <c r="S14" s="43">
        <f t="shared" si="2"/>
        <v>-6370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>
      <c r="A15" s="4"/>
      <c r="B15" s="44"/>
      <c r="C15" s="44"/>
      <c r="D15" s="44"/>
      <c r="E15" s="45"/>
      <c r="F15" s="46"/>
      <c r="G15" s="46"/>
      <c r="H15" s="46"/>
      <c r="I15" s="45"/>
      <c r="J15" s="46"/>
      <c r="K15" s="45"/>
      <c r="L15" s="45"/>
      <c r="M15" s="45"/>
      <c r="N15" s="45"/>
      <c r="O15" s="46"/>
      <c r="P15" s="45"/>
      <c r="Q15" s="47"/>
      <c r="R15" s="46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>
      <c r="A16" s="4"/>
      <c r="B16" s="48"/>
      <c r="C16" s="48"/>
      <c r="D16" s="48"/>
      <c r="E16" s="49"/>
      <c r="F16" s="50"/>
      <c r="G16" s="50"/>
      <c r="H16" s="50"/>
      <c r="I16" s="49"/>
      <c r="J16" s="50"/>
      <c r="K16" s="49"/>
      <c r="L16" s="49"/>
      <c r="M16" s="49"/>
      <c r="N16" s="49"/>
      <c r="O16" s="50"/>
      <c r="P16" s="49"/>
      <c r="Q16" s="51"/>
      <c r="R16" s="50"/>
      <c r="S16" s="52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5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5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5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5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4"/>
      <c r="B29" s="5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S1"/>
    <mergeCell ref="D5:H5"/>
    <mergeCell ref="I5:P5"/>
    <mergeCell ref="Q5:Q6"/>
    <mergeCell ref="R5:R6"/>
    <mergeCell ref="B14:C14"/>
    <mergeCell ref="B29:S29"/>
  </mergeCells>
  <conditionalFormatting sqref="S8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 S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2016-04-28T20:56:19Z</dcterms:created>
  <dc:creator>ProjectManager.com</dc:creator>
</cp:coreProperties>
</file>