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uditoría de Calidad" sheetId="1" state="visible" r:id="rId1"/>
    <sheet xmlns:r="http://schemas.openxmlformats.org/officeDocument/2006/relationships" name="Instruccione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3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i val="1"/>
      <color rgb="FFFFFFFF"/>
      <sz val="11"/>
    </font>
    <font>
      <name val="Arial"/>
      <charset val="1"/>
      <family val="0"/>
      <b val="1"/>
      <sz val="10"/>
    </font>
    <font>
      <name val="Arial"/>
      <charset val="1"/>
      <family val="0"/>
      <sz val="10"/>
    </font>
    <font>
      <name val="Arial"/>
      <charset val="1"/>
      <family val="0"/>
      <color rgb="FF000000"/>
      <sz val="10"/>
    </font>
    <font>
      <name val="Arial"/>
      <charset val="1"/>
      <family val="0"/>
      <b val="1"/>
      <color rgb="FFFFFFFF"/>
      <sz val="10"/>
    </font>
    <font>
      <name val="Arial"/>
      <charset val="1"/>
      <family val="0"/>
      <b val="1"/>
      <color rgb="FFFFFFFF"/>
      <sz val="9"/>
    </font>
    <font>
      <name val="Arial"/>
      <charset val="1"/>
      <family val="0"/>
      <sz val="9"/>
    </font>
    <font>
      <name val="Arial"/>
      <charset val="1"/>
      <family val="0"/>
      <b val="1"/>
      <color rgb="FF1F4E79"/>
      <sz val="10"/>
    </font>
    <font>
      <name val="Arial"/>
      <charset val="1"/>
      <family val="0"/>
      <color rgb="FF000000"/>
      <sz val="9"/>
    </font>
    <font>
      <name val="Arial"/>
      <charset val="1"/>
      <family val="0"/>
      <b val="1"/>
      <color rgb="FF375623"/>
      <sz val="10"/>
    </font>
    <font>
      <name val="Arial"/>
      <charset val="1"/>
      <family val="0"/>
      <i val="1"/>
      <color rgb="FF000000"/>
      <sz val="9"/>
    </font>
    <font>
      <name val="Arial"/>
      <charset val="1"/>
      <family val="0"/>
      <b val="1"/>
      <color rgb="FF7F3F00"/>
      <sz val="10"/>
    </font>
    <font>
      <name val="Arial"/>
      <charset val="1"/>
      <family val="0"/>
      <color rgb="FF595959"/>
      <sz val="10"/>
    </font>
    <font>
      <name val="Arial"/>
      <charset val="1"/>
      <family val="0"/>
      <b val="1"/>
      <sz val="9"/>
    </font>
    <font>
      <name val="Arial"/>
      <charset val="1"/>
      <family val="0"/>
      <i val="1"/>
      <sz val="9"/>
    </font>
    <font>
      <name val="Arial"/>
      <charset val="1"/>
      <family val="0"/>
      <b val="1"/>
      <color rgb="FFFFFFFF"/>
      <sz val="12"/>
    </font>
    <font>
      <name val="Arial"/>
      <b val="1"/>
      <color rgb="00000000"/>
      <sz val="18"/>
    </font>
    <font>
      <name val="Calibri"/>
      <color rgb="00000000"/>
      <sz val="11"/>
    </font>
    <font>
      <name val="Arial"/>
      <i val="1"/>
      <color rgb="00000000"/>
      <sz val="11"/>
    </font>
    <font>
      <name val="Arial"/>
      <b val="1"/>
      <color rgb="00000000"/>
      <sz val="10"/>
    </font>
    <font>
      <name val="Arial"/>
      <color rgb="00000000"/>
      <sz val="10"/>
    </font>
    <font>
      <name val="Arial"/>
      <b val="1"/>
      <color rgb="00000000"/>
      <sz val="9"/>
    </font>
    <font>
      <name val="Arial"/>
      <color rgb="00000000"/>
      <sz val="9"/>
    </font>
    <font>
      <name val="Arial"/>
      <i val="1"/>
      <color rgb="00000000"/>
      <sz val="9"/>
    </font>
    <font>
      <name val="Arial"/>
      <b val="1"/>
      <color rgb="00000000"/>
      <sz val="12"/>
    </font>
  </fonts>
  <fills count="20">
    <fill>
      <patternFill/>
    </fill>
    <fill>
      <patternFill patternType="gray125"/>
    </fill>
    <fill>
      <patternFill patternType="solid">
        <fgColor rgb="FF1F3864"/>
        <bgColor rgb="FF1F4E79"/>
      </patternFill>
    </fill>
    <fill>
      <patternFill patternType="solid">
        <fgColor rgb="FF2E75B6"/>
        <bgColor rgb="FF0066CC"/>
      </patternFill>
    </fill>
    <fill>
      <patternFill patternType="solid">
        <fgColor rgb="FFBDD7EE"/>
        <bgColor rgb="FFDEEAF1"/>
      </patternFill>
    </fill>
    <fill>
      <patternFill patternType="solid">
        <fgColor rgb="FF404040"/>
        <bgColor rgb="FF375623"/>
      </patternFill>
    </fill>
    <fill>
      <patternFill patternType="solid">
        <fgColor rgb="FFE8F4F8"/>
        <bgColor rgb="FFEBF3FB"/>
      </patternFill>
    </fill>
    <fill>
      <patternFill patternType="solid">
        <fgColor rgb="FFDEEAF1"/>
        <bgColor rgb="FFE2EFDA"/>
      </patternFill>
    </fill>
    <fill>
      <patternFill patternType="solid">
        <fgColor rgb="FFEBF3FB"/>
        <bgColor rgb="FFE8F4F8"/>
      </patternFill>
    </fill>
    <fill>
      <patternFill patternType="solid">
        <fgColor rgb="FFE2EFDA"/>
        <bgColor rgb="FFEBF5E0"/>
      </patternFill>
    </fill>
    <fill>
      <patternFill patternType="solid">
        <fgColor rgb="FFF7F7F7"/>
        <bgColor rgb="FFF2F2F2"/>
      </patternFill>
    </fill>
    <fill>
      <patternFill patternType="solid">
        <fgColor rgb="FFFFF2CC"/>
        <bgColor rgb="FFFFF8E1"/>
      </patternFill>
    </fill>
    <fill>
      <patternFill patternType="solid">
        <fgColor rgb="FFFFFDE7"/>
        <bgColor rgb="FFFFF8E1"/>
      </patternFill>
    </fill>
    <fill>
      <patternFill patternType="solid">
        <fgColor rgb="FFEBF5E0"/>
        <bgColor rgb="FFE2EFDA"/>
      </patternFill>
    </fill>
    <fill>
      <patternFill patternType="solid">
        <fgColor rgb="FFFFF8E1"/>
        <bgColor rgb="FFFFFDE7"/>
      </patternFill>
    </fill>
    <fill>
      <patternFill patternType="solid">
        <fgColor rgb="FFFDE8D8"/>
        <bgColor rgb="FFFFF2CC"/>
      </patternFill>
    </fill>
    <fill>
      <patternFill patternType="solid">
        <fgColor rgb="FFF2F2F2"/>
        <bgColor rgb="FFEBF3FB"/>
      </patternFill>
    </fill>
    <fill>
      <patternFill patternType="solid">
        <fgColor rgb="FF1F4E79"/>
        <bgColor rgb="FF1F3864"/>
      </patternFill>
    </fill>
    <fill>
      <patternFill patternType="solid">
        <fgColor rgb="FFFFFFFF"/>
        <bgColor rgb="FFF7F7F7"/>
      </patternFill>
    </fill>
    <fill>
      <patternFill patternType="solid">
        <fgColor rgb="00FFFFFF"/>
      </patternFill>
    </fill>
  </fills>
  <borders count="15">
    <border>
      <left/>
      <right/>
      <top/>
      <bottom/>
      <diagonal/>
    </border>
    <border>
      <left style="thin"/>
      <right style="thin"/>
      <top style="thin"/>
      <bottom style="thin"/>
      <diagonal/>
    </border>
    <border>
      <left style="thin">
        <color rgb="FFBFBFBF"/>
      </left>
      <right style="thin"/>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right/>
      <top style="thin">
        <color rgb="FFBFBFBF"/>
      </top>
      <bottom/>
      <diagonal/>
    </border>
    <border>
      <left/>
      <right style="thin"/>
      <top style="thin">
        <color rgb="FFBFBFBF"/>
      </top>
      <bottom/>
      <diagonal/>
    </border>
    <border>
      <left/>
      <right/>
      <top style="thin">
        <color rgb="FFBFBFBF"/>
      </top>
      <bottom style="thin">
        <color rgb="FFBFBFBF"/>
      </bottom>
      <diagonal/>
    </border>
    <border>
      <left/>
      <right style="thin"/>
      <top style="thin">
        <color rgb="FFBFBFBF"/>
      </top>
      <bottom style="thin">
        <color rgb="FFBFBFBF"/>
      </bottom>
      <diagonal/>
    </border>
    <border>
      <left style="thin"/>
      <right/>
      <top/>
      <bottom/>
      <diagonal/>
    </border>
    <border>
      <left style="thin"/>
      <right style="thin"/>
      <top/>
      <bottom/>
      <diagonal/>
    </border>
    <border>
      <left style="thin"/>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6">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1" applyAlignment="1" pivotButton="0" quotePrefix="0" xfId="0">
      <alignment horizontal="left" vertical="center" indent="1"/>
    </xf>
    <xf numFmtId="0" fontId="7" fillId="0" borderId="1" applyAlignment="1" pivotButton="0" quotePrefix="0" xfId="0">
      <alignment horizontal="left" vertical="center" indent="1"/>
    </xf>
    <xf numFmtId="0" fontId="8" fillId="0" borderId="2" applyAlignment="1" pivotButton="0" quotePrefix="0" xfId="0">
      <alignment horizontal="left" vertical="center" wrapText="1"/>
    </xf>
    <xf numFmtId="0" fontId="9" fillId="3" borderId="1" applyAlignment="1" pivotButton="0" quotePrefix="0" xfId="0">
      <alignment horizontal="center" vertical="center" wrapText="1"/>
    </xf>
    <xf numFmtId="0" fontId="10" fillId="5" borderId="1" applyAlignment="1" pivotButton="0" quotePrefix="0" xfId="0">
      <alignment horizontal="center" vertical="center"/>
    </xf>
    <xf numFmtId="0" fontId="11" fillId="6" borderId="1" applyAlignment="1" pivotButton="0" quotePrefix="0" xfId="0">
      <alignment horizontal="center" vertical="top" wrapText="1"/>
    </xf>
    <xf numFmtId="0" fontId="11" fillId="6" borderId="1" applyAlignment="1" pivotButton="0" quotePrefix="0" xfId="0">
      <alignment horizontal="left" vertical="top" wrapText="1" indent="1"/>
    </xf>
    <xf numFmtId="0" fontId="12" fillId="7" borderId="3" applyAlignment="1" pivotButton="0" quotePrefix="0" xfId="0">
      <alignment horizontal="center" vertical="center" wrapText="1"/>
    </xf>
    <xf numFmtId="0" fontId="8" fillId="8" borderId="3" applyAlignment="1" pivotButton="0" quotePrefix="0" xfId="0">
      <alignment horizontal="center" vertical="center" wrapText="1"/>
    </xf>
    <xf numFmtId="0" fontId="13" fillId="9" borderId="3" applyAlignment="1" pivotButton="0" quotePrefix="0" xfId="0">
      <alignment horizontal="left" vertical="center" wrapText="1"/>
    </xf>
    <xf numFmtId="0" fontId="13" fillId="8" borderId="3" applyAlignment="1" pivotButton="0" quotePrefix="0" xfId="0">
      <alignment horizontal="left" vertical="center" wrapText="1"/>
    </xf>
    <xf numFmtId="0" fontId="14" fillId="9" borderId="3" applyAlignment="1" pivotButton="0" quotePrefix="0" xfId="0">
      <alignment horizontal="center" vertical="center" wrapText="1"/>
    </xf>
    <xf numFmtId="0" fontId="13" fillId="10" borderId="3" applyAlignment="1" pivotButton="0" quotePrefix="0" xfId="0">
      <alignment horizontal="left" vertical="center" wrapText="1"/>
    </xf>
    <xf numFmtId="0" fontId="13" fillId="11" borderId="3" applyAlignment="1" pivotButton="0" quotePrefix="0" xfId="0">
      <alignment horizontal="left" vertical="center" wrapText="1"/>
    </xf>
    <xf numFmtId="0" fontId="15" fillId="12" borderId="3" applyAlignment="1" pivotButton="0" quotePrefix="0" xfId="0">
      <alignment horizontal="left" vertical="center" wrapText="1"/>
    </xf>
    <xf numFmtId="0" fontId="11" fillId="13" borderId="1" applyAlignment="1" pivotButton="0" quotePrefix="0" xfId="0">
      <alignment horizontal="center" vertical="top" wrapText="1"/>
    </xf>
    <xf numFmtId="0" fontId="11" fillId="13" borderId="1" applyAlignment="1" pivotButton="0" quotePrefix="0" xfId="0">
      <alignment horizontal="left" vertical="top" wrapText="1" indent="1"/>
    </xf>
    <xf numFmtId="0" fontId="11" fillId="14" borderId="1" applyAlignment="1" pivotButton="0" quotePrefix="0" xfId="0">
      <alignment horizontal="center" vertical="top" wrapText="1"/>
    </xf>
    <xf numFmtId="0" fontId="11" fillId="14" borderId="1" applyAlignment="1" pivotButton="0" quotePrefix="0" xfId="0">
      <alignment horizontal="left" vertical="top" wrapText="1" indent="1"/>
    </xf>
    <xf numFmtId="0" fontId="16" fillId="11" borderId="3" applyAlignment="1" pivotButton="0" quotePrefix="0" xfId="0">
      <alignment horizontal="center" vertical="center" wrapText="1"/>
    </xf>
    <xf numFmtId="0" fontId="11" fillId="15" borderId="1" applyAlignment="1" pivotButton="0" quotePrefix="0" xfId="0">
      <alignment horizontal="center" vertical="top" wrapText="1"/>
    </xf>
    <xf numFmtId="0" fontId="11" fillId="15" borderId="1" applyAlignment="1" pivotButton="0" quotePrefix="0" xfId="0">
      <alignment horizontal="left" vertical="top" wrapText="1" indent="1"/>
    </xf>
    <xf numFmtId="0" fontId="13" fillId="16" borderId="3" applyAlignment="1" pivotButton="0" quotePrefix="0" xfId="0">
      <alignment horizontal="left" vertical="center" wrapText="1"/>
    </xf>
    <xf numFmtId="0" fontId="11" fillId="15" borderId="1" applyAlignment="1" pivotButton="0" quotePrefix="0" xfId="0">
      <alignment horizontal="center" vertical="top" wrapText="1" indent="1"/>
    </xf>
    <xf numFmtId="0" fontId="17" fillId="16" borderId="3" applyAlignment="1" pivotButton="0" quotePrefix="0" xfId="0">
      <alignment horizontal="center" vertical="center" wrapText="1"/>
    </xf>
    <xf numFmtId="0" fontId="9" fillId="2" borderId="1" applyAlignment="1" pivotButton="0" quotePrefix="0" xfId="0">
      <alignment horizontal="center" vertical="center"/>
    </xf>
    <xf numFmtId="0" fontId="18" fillId="4" borderId="1" applyAlignment="1" pivotButton="0" quotePrefix="0" xfId="0">
      <alignment horizontal="center" vertical="center"/>
    </xf>
    <xf numFmtId="0" fontId="19" fillId="7" borderId="1" applyAlignment="1" pivotButton="0" quotePrefix="0" xfId="0">
      <alignment horizontal="center" vertical="center"/>
    </xf>
    <xf numFmtId="0" fontId="11" fillId="6" borderId="1" applyAlignment="1" pivotButton="0" quotePrefix="0" xfId="0">
      <alignment horizontal="center" vertical="center"/>
    </xf>
    <xf numFmtId="0" fontId="11" fillId="13" borderId="1" applyAlignment="1" pivotButton="0" quotePrefix="0" xfId="0">
      <alignment horizontal="center" vertical="center"/>
    </xf>
    <xf numFmtId="0" fontId="11" fillId="14" borderId="1" applyAlignment="1" pivotButton="0" quotePrefix="0" xfId="0">
      <alignment horizontal="center" vertical="center"/>
    </xf>
    <xf numFmtId="0" fontId="11" fillId="15" borderId="1" applyAlignment="1" pivotButton="0" quotePrefix="0" xfId="0">
      <alignment horizontal="center" vertical="center"/>
    </xf>
    <xf numFmtId="0" fontId="9" fillId="17" borderId="0" applyAlignment="1" pivotButton="0" quotePrefix="0" xfId="0">
      <alignment horizontal="center" vertical="center"/>
    </xf>
    <xf numFmtId="0" fontId="11" fillId="18" borderId="0" applyAlignment="1" pivotButton="0" quotePrefix="0" xfId="0">
      <alignment horizontal="left" vertical="center" wrapText="1"/>
    </xf>
    <xf numFmtId="0" fontId="11" fillId="18" borderId="0" applyAlignment="1" pivotButton="0" quotePrefix="0" xfId="0">
      <alignment horizontal="center" vertical="center" wrapText="1"/>
    </xf>
    <xf numFmtId="0" fontId="11" fillId="8" borderId="0" applyAlignment="1" pivotButton="0" quotePrefix="0" xfId="0">
      <alignment horizontal="left" vertical="center" wrapText="1"/>
    </xf>
    <xf numFmtId="0" fontId="11" fillId="8" borderId="0" applyAlignment="1" pivotButton="0" quotePrefix="0" xfId="0">
      <alignment horizontal="center" vertical="center" wrapText="1"/>
    </xf>
    <xf numFmtId="0" fontId="20" fillId="2" borderId="0" applyAlignment="1" pivotButton="0" quotePrefix="0" xfId="0">
      <alignment horizontal="center" vertical="center"/>
    </xf>
    <xf numFmtId="0" fontId="7" fillId="0" borderId="0" applyAlignment="1" pivotButton="0" quotePrefix="0" xfId="0">
      <alignment horizontal="left" vertical="top" wrapText="1" indent="1"/>
    </xf>
    <xf numFmtId="0" fontId="9" fillId="3" borderId="0" applyAlignment="1" pivotButton="0" quotePrefix="0" xfId="0">
      <alignment horizontal="center" vertical="bottom"/>
    </xf>
    <xf numFmtId="0" fontId="9" fillId="3" borderId="0" applyAlignment="1" pivotButton="0" quotePrefix="0" xfId="0">
      <alignment horizontal="left" vertical="bottom" indent="1"/>
    </xf>
    <xf numFmtId="0" fontId="0" fillId="0" borderId="0" applyAlignment="1" pivotButton="0" quotePrefix="0" xfId="0">
      <alignment horizontal="general" vertical="bottom"/>
    </xf>
    <xf numFmtId="0" fontId="0" fillId="0" borderId="0" pivotButton="0" quotePrefix="0" xfId="0"/>
    <xf numFmtId="0" fontId="21" fillId="19" borderId="0" applyAlignment="1" pivotButton="0" quotePrefix="0" xfId="0">
      <alignment horizontal="center" vertical="center"/>
    </xf>
    <xf numFmtId="0" fontId="22" fillId="19" borderId="0" pivotButton="0" quotePrefix="0" xfId="0"/>
    <xf numFmtId="0" fontId="23" fillId="19" borderId="0" applyAlignment="1" pivotButton="0" quotePrefix="0" xfId="0">
      <alignment horizontal="center" vertical="center"/>
    </xf>
    <xf numFmtId="0" fontId="24" fillId="19" borderId="1" applyAlignment="1" pivotButton="0" quotePrefix="0" xfId="0">
      <alignment horizontal="left" vertical="center" indent="1"/>
    </xf>
    <xf numFmtId="0" fontId="22" fillId="19" borderId="6" pivotButton="0" quotePrefix="0" xfId="0"/>
    <xf numFmtId="0" fontId="25" fillId="19" borderId="1" applyAlignment="1" pivotButton="0" quotePrefix="0" xfId="0">
      <alignment horizontal="left" vertical="center" indent="1"/>
    </xf>
    <xf numFmtId="0" fontId="22" fillId="19" borderId="7" pivotButton="0" quotePrefix="0" xfId="0"/>
    <xf numFmtId="0" fontId="25" fillId="19" borderId="2" applyAlignment="1" pivotButton="0" quotePrefix="0" xfId="0">
      <alignment horizontal="left" vertical="center" wrapText="1"/>
    </xf>
    <xf numFmtId="0" fontId="22" fillId="19" borderId="10" pivotButton="0" quotePrefix="0" xfId="0"/>
    <xf numFmtId="0" fontId="22" fillId="19" borderId="11" pivotButton="0" quotePrefix="0" xfId="0"/>
    <xf numFmtId="0" fontId="24" fillId="19" borderId="1" applyAlignment="1" pivotButton="0" quotePrefix="0" xfId="0">
      <alignment horizontal="center" vertical="center" wrapText="1"/>
    </xf>
    <xf numFmtId="0" fontId="22" fillId="19" borderId="14" pivotButton="0" quotePrefix="0" xfId="0"/>
    <xf numFmtId="0" fontId="26" fillId="19" borderId="1" applyAlignment="1" pivotButton="0" quotePrefix="0" xfId="0">
      <alignment horizontal="center" vertical="center"/>
    </xf>
    <xf numFmtId="0" fontId="27" fillId="19" borderId="1" applyAlignment="1" pivotButton="0" quotePrefix="0" xfId="0">
      <alignment horizontal="center" vertical="top" wrapText="1"/>
    </xf>
    <xf numFmtId="0" fontId="27" fillId="19" borderId="1" applyAlignment="1" pivotButton="0" quotePrefix="0" xfId="0">
      <alignment horizontal="left" vertical="top" wrapText="1" indent="1"/>
    </xf>
    <xf numFmtId="0" fontId="24" fillId="19" borderId="3" applyAlignment="1" pivotButton="0" quotePrefix="0" xfId="0">
      <alignment horizontal="center" vertical="center" wrapText="1"/>
    </xf>
    <xf numFmtId="0" fontId="25" fillId="19" borderId="3" applyAlignment="1" pivotButton="0" quotePrefix="0" xfId="0">
      <alignment horizontal="center" vertical="center" wrapText="1"/>
    </xf>
    <xf numFmtId="0" fontId="27" fillId="19" borderId="3" applyAlignment="1" pivotButton="0" quotePrefix="0" xfId="0">
      <alignment horizontal="left" vertical="center" wrapText="1"/>
    </xf>
    <xf numFmtId="0" fontId="28" fillId="19" borderId="3" applyAlignment="1" pivotButton="0" quotePrefix="0" xfId="0">
      <alignment horizontal="left" vertical="center" wrapText="1"/>
    </xf>
    <xf numFmtId="0" fontId="27" fillId="19" borderId="1" applyAlignment="1" pivotButton="0" quotePrefix="0" xfId="0">
      <alignment horizontal="center" vertical="top" wrapText="1" indent="1"/>
    </xf>
    <xf numFmtId="0" fontId="24" fillId="19" borderId="1" applyAlignment="1" pivotButton="0" quotePrefix="0" xfId="0">
      <alignment horizontal="center" vertical="center"/>
    </xf>
    <xf numFmtId="0" fontId="28" fillId="19" borderId="1" applyAlignment="1" pivotButton="0" quotePrefix="0" xfId="0">
      <alignment horizontal="center" vertical="center"/>
    </xf>
    <xf numFmtId="0" fontId="27" fillId="19" borderId="1" applyAlignment="1" pivotButton="0" quotePrefix="0" xfId="0">
      <alignment horizontal="center" vertical="center"/>
    </xf>
    <xf numFmtId="0" fontId="24" fillId="19" borderId="0" applyAlignment="1" pivotButton="0" quotePrefix="0" xfId="0">
      <alignment horizontal="center" vertical="center"/>
    </xf>
    <xf numFmtId="0" fontId="27" fillId="19" borderId="0" applyAlignment="1" pivotButton="0" quotePrefix="0" xfId="0">
      <alignment horizontal="left" vertical="center" wrapText="1"/>
    </xf>
    <xf numFmtId="0" fontId="27" fillId="19" borderId="0" applyAlignment="1" pivotButton="0" quotePrefix="0" xfId="0">
      <alignment horizontal="center" vertical="center" wrapText="1"/>
    </xf>
    <xf numFmtId="0" fontId="29" fillId="19" borderId="0" applyAlignment="1" pivotButton="0" quotePrefix="0" xfId="0">
      <alignment horizontal="center" vertical="center"/>
    </xf>
    <xf numFmtId="0" fontId="25" fillId="19" borderId="0" applyAlignment="1" pivotButton="0" quotePrefix="0" xfId="0">
      <alignment horizontal="left" vertical="top" wrapText="1" indent="1"/>
    </xf>
    <xf numFmtId="0" fontId="24" fillId="19" borderId="0" applyAlignment="1" pivotButton="0" quotePrefix="0" xfId="0">
      <alignment horizontal="center" vertical="bottom"/>
    </xf>
    <xf numFmtId="0" fontId="24" fillId="19" borderId="0" applyAlignment="1" pivotButton="0" quotePrefix="0" xfId="0">
      <alignment horizontal="left" vertical="bottom" inden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DE7"/>
      <rgbColor rgb="FFFF00FF"/>
      <rgbColor rgb="FF00FFFF"/>
      <rgbColor rgb="FF800000"/>
      <rgbColor rgb="FF008000"/>
      <rgbColor rgb="FF000080"/>
      <rgbColor rgb="FF808000"/>
      <rgbColor rgb="FF800080"/>
      <rgbColor rgb="FF008080"/>
      <rgbColor rgb="FFBFBFBF"/>
      <rgbColor rgb="FF808080"/>
      <rgbColor rgb="FF9999FF"/>
      <rgbColor rgb="FF993366"/>
      <rgbColor rgb="FFFFF8E1"/>
      <rgbColor rgb="FFE8F4F8"/>
      <rgbColor rgb="FF660066"/>
      <rgbColor rgb="FFFF8080"/>
      <rgbColor rgb="FF0066CC"/>
      <rgbColor rgb="FFBDD7EE"/>
      <rgbColor rgb="FF000080"/>
      <rgbColor rgb="FFFF00FF"/>
      <rgbColor rgb="FFF7F7F7"/>
      <rgbColor rgb="FF00FFFF"/>
      <rgbColor rgb="FF800080"/>
      <rgbColor rgb="FF800000"/>
      <rgbColor rgb="FF008080"/>
      <rgbColor rgb="FF0000FF"/>
      <rgbColor rgb="FF00CCFF"/>
      <rgbColor rgb="FFEBF3FB"/>
      <rgbColor rgb="FFE2EFDA"/>
      <rgbColor rgb="FFFFF2CC"/>
      <rgbColor rgb="FFDEEAF1"/>
      <rgbColor rgb="FFF2F2F2"/>
      <rgbColor rgb="FFEBF5E0"/>
      <rgbColor rgb="FFFDE8D8"/>
      <rgbColor rgb="FF2E75B6"/>
      <rgbColor rgb="FF33CCCC"/>
      <rgbColor rgb="FF99CC00"/>
      <rgbColor rgb="FFFFCC00"/>
      <rgbColor rgb="FFFF9900"/>
      <rgbColor rgb="FFFF6600"/>
      <rgbColor rgb="FF595959"/>
      <rgbColor rgb="FF969696"/>
      <rgbColor rgb="FF1F3864"/>
      <rgbColor rgb="FF339966"/>
      <rgbColor rgb="FF003300"/>
      <rgbColor rgb="FF375623"/>
      <rgbColor rgb="FF7F3F00"/>
      <rgbColor rgb="FF993366"/>
      <rgbColor rgb="FF1F4E7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M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4" min="1" max="1"/>
    <col width="22" customWidth="1" style="44" min="2" max="2"/>
    <col width="35" customWidth="1" style="44" min="3" max="3"/>
    <col width="30" customWidth="1" style="44" min="4" max="4"/>
    <col width="20" customWidth="1" style="44" min="5" max="5"/>
    <col width="14" customWidth="1" style="44" min="6" max="6"/>
    <col width="28" customWidth="1" style="44" min="7" max="7"/>
    <col width="14" customWidth="1" style="44" min="8" max="8"/>
    <col width="28" customWidth="1" style="44" min="9" max="9"/>
    <col width="14" customWidth="1" style="44" min="10" max="10"/>
    <col width="28" customWidth="1" style="44" min="11" max="11"/>
    <col width="20" customWidth="1" style="44" min="12" max="12"/>
    <col width="35" customWidth="1" style="44" min="13" max="13"/>
  </cols>
  <sheetData>
    <row r="1" ht="36" customHeight="1" s="45">
      <c r="A1" s="46" t="inlineStr">
        <is>
          <t>AUDITORÍA DE CALIDAD</t>
        </is>
      </c>
      <c r="B1" s="47" t="n"/>
      <c r="C1" s="47" t="n"/>
      <c r="D1" s="47" t="n"/>
      <c r="E1" s="47" t="n"/>
      <c r="F1" s="47" t="n"/>
      <c r="G1" s="47" t="n"/>
      <c r="H1" s="47" t="n"/>
      <c r="I1" s="47" t="n"/>
      <c r="J1" s="47" t="n"/>
      <c r="K1" s="47" t="n"/>
      <c r="L1" s="47" t="n"/>
      <c r="M1" s="47" t="n"/>
    </row>
    <row r="2" ht="21.75" customHeight="1" s="45">
      <c r="A2" s="48" t="inlineStr">
        <is>
          <t>Proyecto PetCare MVP  —  Plataforma de servicios para mascotas en Tunja</t>
        </is>
      </c>
      <c r="B2" s="47" t="n"/>
      <c r="C2" s="47" t="n"/>
      <c r="D2" s="47" t="n"/>
      <c r="E2" s="47" t="n"/>
      <c r="F2" s="47" t="n"/>
      <c r="G2" s="47" t="n"/>
      <c r="H2" s="47" t="n"/>
      <c r="I2" s="47" t="n"/>
      <c r="J2" s="47" t="n"/>
      <c r="K2" s="47" t="n"/>
      <c r="L2" s="47" t="n"/>
      <c r="M2" s="47" t="n"/>
    </row>
    <row r="3" ht="18" customHeight="1" s="45">
      <c r="A3" s="49" t="inlineStr">
        <is>
          <t>Nombre del proyecto:</t>
        </is>
      </c>
      <c r="B3" s="50" t="n"/>
      <c r="C3" s="51" t="inlineStr">
        <is>
          <t>PetCare MVP</t>
        </is>
      </c>
      <c r="D3" s="52" t="n"/>
      <c r="E3" s="52" t="n"/>
      <c r="F3" s="52" t="n"/>
      <c r="G3" s="52" t="n"/>
      <c r="H3" s="52" t="n"/>
      <c r="I3" s="52" t="n"/>
      <c r="J3" s="52" t="n"/>
      <c r="K3" s="52" t="n"/>
      <c r="L3" s="52" t="n"/>
      <c r="M3" s="50" t="n"/>
    </row>
    <row r="4" ht="18" customHeight="1" s="45">
      <c r="A4" s="49" t="inlineStr">
        <is>
          <t>Gerente del proyecto:</t>
        </is>
      </c>
      <c r="B4" s="50" t="n"/>
      <c r="C4" s="53" t="inlineStr">
        <is>
          <t>Harold Ricardo Alvarado</t>
        </is>
      </c>
      <c r="D4" s="54" t="n"/>
      <c r="E4" s="54" t="n"/>
      <c r="F4" s="54" t="n"/>
      <c r="G4" s="54" t="n"/>
      <c r="H4" s="54" t="n"/>
      <c r="I4" s="54" t="n"/>
      <c r="J4" s="54" t="n"/>
      <c r="K4" s="54" t="n"/>
      <c r="L4" s="54" t="n"/>
      <c r="M4" s="55" t="n"/>
    </row>
    <row r="5" ht="18" customHeight="1" s="45">
      <c r="A5" s="49" t="inlineStr">
        <is>
          <t>Fecha de emisión:</t>
        </is>
      </c>
      <c r="B5" s="50" t="n"/>
      <c r="C5" s="51" t="inlineStr">
        <is>
          <t>13/05/2026</t>
        </is>
      </c>
      <c r="D5" s="52" t="n"/>
      <c r="E5" s="52" t="n"/>
      <c r="F5" s="52" t="n"/>
      <c r="G5" s="52" t="n"/>
      <c r="H5" s="52" t="n"/>
      <c r="I5" s="52" t="n"/>
      <c r="J5" s="52" t="n"/>
      <c r="K5" s="52" t="n"/>
      <c r="L5" s="52" t="n"/>
      <c r="M5" s="50" t="n"/>
    </row>
    <row r="6" ht="18" customHeight="1" s="45">
      <c r="A6" s="49" t="inlineStr">
        <is>
          <t>Versión:</t>
        </is>
      </c>
      <c r="B6" s="50" t="n"/>
      <c r="C6" s="51" t="inlineStr">
        <is>
          <t>1.00</t>
        </is>
      </c>
      <c r="D6" s="52" t="n"/>
      <c r="E6" s="52" t="n"/>
      <c r="F6" s="52" t="n"/>
      <c r="G6" s="52" t="n"/>
      <c r="H6" s="52" t="n"/>
      <c r="I6" s="52" t="n"/>
      <c r="J6" s="52" t="n"/>
      <c r="K6" s="52" t="n"/>
      <c r="L6" s="52" t="n"/>
      <c r="M6" s="50" t="n"/>
    </row>
    <row r="7" ht="18" customHeight="1" s="45">
      <c r="A7" s="49" t="inlineStr">
        <is>
          <t>Período cubierto:</t>
        </is>
      </c>
      <c r="B7" s="50" t="n"/>
      <c r="C7" s="51" t="inlineStr">
        <is>
          <t>Sprint 1 – Sprint 4  (15 Mar – 25 May 2026)</t>
        </is>
      </c>
      <c r="D7" s="52" t="n"/>
      <c r="E7" s="52" t="n"/>
      <c r="F7" s="52" t="n"/>
      <c r="G7" s="52" t="n"/>
      <c r="H7" s="52" t="n"/>
      <c r="I7" s="52" t="n"/>
      <c r="J7" s="52" t="n"/>
      <c r="K7" s="52" t="n"/>
      <c r="L7" s="52" t="n"/>
      <c r="M7" s="50" t="n"/>
    </row>
    <row r="8" ht="7.5" customHeight="1" s="45">
      <c r="A8" s="47" t="n"/>
      <c r="B8" s="47" t="n"/>
      <c r="C8" s="47" t="n"/>
      <c r="D8" s="47" t="n"/>
      <c r="E8" s="47" t="n"/>
      <c r="F8" s="47" t="n"/>
      <c r="G8" s="47" t="n"/>
      <c r="H8" s="47" t="n"/>
      <c r="I8" s="47" t="n"/>
      <c r="J8" s="47" t="n"/>
      <c r="K8" s="47" t="n"/>
      <c r="L8" s="47" t="n"/>
      <c r="M8" s="47" t="n"/>
    </row>
    <row r="9" ht="27.75" customHeight="1" s="45">
      <c r="A9" s="56" t="inlineStr">
        <is>
          <t>No.</t>
        </is>
      </c>
      <c r="B9" s="56" t="inlineStr">
        <is>
          <t>Entregable</t>
        </is>
      </c>
      <c r="C9" s="56" t="inlineStr">
        <is>
          <t>Descripción</t>
        </is>
      </c>
      <c r="D9" s="56" t="inlineStr">
        <is>
          <t>Criterios de
Aceptación</t>
        </is>
      </c>
      <c r="E9" s="56" t="inlineStr">
        <is>
          <t>Nombre del
Auditor</t>
        </is>
      </c>
      <c r="F9" s="56" t="inlineStr">
        <is>
          <t>1ª Auditoría</t>
        </is>
      </c>
      <c r="G9" s="50" t="n"/>
      <c r="H9" s="56" t="inlineStr">
        <is>
          <t>2ª Auditoría</t>
        </is>
      </c>
      <c r="I9" s="50" t="n"/>
      <c r="J9" s="56" t="inlineStr">
        <is>
          <t>3ª Auditoría</t>
        </is>
      </c>
      <c r="K9" s="50" t="n"/>
      <c r="L9" s="56" t="inlineStr">
        <is>
          <t>Estado
Final</t>
        </is>
      </c>
      <c r="M9" s="56" t="inlineStr">
        <is>
          <t>Observaciones /
Lecciones Aprendidas</t>
        </is>
      </c>
    </row>
    <row r="10" ht="18" customHeight="1" s="45">
      <c r="A10" s="57" t="n"/>
      <c r="B10" s="57" t="n"/>
      <c r="C10" s="57" t="n"/>
      <c r="D10" s="57" t="n"/>
      <c r="E10" s="57" t="n"/>
      <c r="F10" s="58" t="inlineStr">
        <is>
          <t>Fecha</t>
        </is>
      </c>
      <c r="G10" s="58" t="inlineStr">
        <is>
          <t>Conclusiones</t>
        </is>
      </c>
      <c r="H10" s="58" t="inlineStr">
        <is>
          <t>Fecha</t>
        </is>
      </c>
      <c r="I10" s="58" t="inlineStr">
        <is>
          <t>Conclusiones</t>
        </is>
      </c>
      <c r="J10" s="58" t="inlineStr">
        <is>
          <t>Fecha</t>
        </is>
      </c>
      <c r="K10" s="58" t="inlineStr">
        <is>
          <t>Conclusiones</t>
        </is>
      </c>
      <c r="L10" s="57" t="n"/>
      <c r="M10" s="57" t="n"/>
    </row>
    <row r="11" ht="72" customHeight="1" s="45">
      <c r="A11" s="59" t="n">
        <v>1</v>
      </c>
      <c r="B11" s="60" t="inlineStr">
        <is>
          <t>HU-01
Registro de usuarios</t>
        </is>
      </c>
      <c r="C11" s="60" t="inlineStr">
        <is>
          <t>Formulario de registro con Firebase Authentication para nuevos usuarios (clientes y proveedores).</t>
        </is>
      </c>
      <c r="D11" s="60" t="inlineStr">
        <is>
          <t>Usuario puede registrarse con correo y contraseña; cuenta creada en Firebase Auth; datos almacenados en DB; pruebas unitarias e integración pasadas.</t>
        </is>
      </c>
      <c r="E11" s="61" t="inlineStr">
        <is>
          <t>Anthony González</t>
        </is>
      </c>
      <c r="F11" s="62" t="inlineStr">
        <is>
          <t>15/04/2026</t>
        </is>
      </c>
      <c r="G11" s="63" t="inlineStr">
        <is>
          <t>Completada — Registro con Firebase Authentication funcional. Correo y contraseña validados correctamente. Cuenta creada en Firestore. Redirección a página de inicio exitosa. Sin errores críticos.</t>
        </is>
      </c>
      <c r="H11" s="62" t="inlineStr">
        <is>
          <t>22/04/2026</t>
        </is>
      </c>
      <c r="I11" s="63" t="inlineStr">
        <is>
          <t>Completada — Re-verificado tras integración con Sprint 2. No se detectaron regresiones. Manejo de errores de correo duplicado confirmado.</t>
        </is>
      </c>
      <c r="J11" s="62" t="inlineStr">
        <is>
          <t>25/05/2026</t>
        </is>
      </c>
      <c r="K11" s="63" t="inlineStr">
        <is>
          <t>Por realizar — Auditoría final de entrega del MVP.</t>
        </is>
      </c>
      <c r="L11" s="61" t="inlineStr">
        <is>
          <t>✅ Completada</t>
        </is>
      </c>
      <c r="M11" s="63" t="inlineStr">
        <is>
          <t>HU completada sin hallazgos críticos. Cumple 100% de criterios de aceptación.</t>
        </is>
      </c>
    </row>
    <row r="12" ht="72" customHeight="1" s="45">
      <c r="A12" s="59" t="n">
        <v>2</v>
      </c>
      <c r="B12" s="60" t="inlineStr">
        <is>
          <t>HU-02
Inicio de sesión</t>
        </is>
      </c>
      <c r="C12" s="60" t="inlineStr">
        <is>
          <t>Formulario de autenticación con Firebase Authentication y acceso a página de inicio personalizada.</t>
        </is>
      </c>
      <c r="D12" s="60" t="inlineStr">
        <is>
          <t>Login exitoso con credenciales válidas; redirección a página de inicio; manejo de errores de autenticación; pruebas unitarias pasadas.</t>
        </is>
      </c>
      <c r="E12" s="61" t="inlineStr">
        <is>
          <t>Andres Daza</t>
        </is>
      </c>
      <c r="F12" s="62" t="inlineStr">
        <is>
          <t>15/04/2026</t>
        </is>
      </c>
      <c r="G12" s="63" t="inlineStr">
        <is>
          <t>Completada — Login con Firebase Auth operativo. Redirección por rol (cliente/proveedor/admin) verificada. Manejo de credenciales inválidas correcto. Persistencia de sesión validada.</t>
        </is>
      </c>
      <c r="H12" s="62" t="inlineStr">
        <is>
          <t>22/04/2026</t>
        </is>
      </c>
      <c r="I12" s="63" t="inlineStr">
        <is>
          <t>Completada — Sin regresiones tras Sprint 2. Sesión persistente entre recargas verificada. Cierre de sesión correcto.</t>
        </is>
      </c>
      <c r="J12" s="62" t="inlineStr">
        <is>
          <t>25/05/2026</t>
        </is>
      </c>
      <c r="K12" s="63" t="inlineStr">
        <is>
          <t>Por realizar — Auditoría final de entrega del MVP.</t>
        </is>
      </c>
      <c r="L12" s="61" t="inlineStr">
        <is>
          <t>✅ Completada</t>
        </is>
      </c>
      <c r="M12" s="63" t="inlineStr">
        <is>
          <t>HU completada sin hallazgos. La redirección por rol es clave para la seguridad de la plataforma.</t>
        </is>
      </c>
    </row>
    <row r="13" ht="72" customHeight="1" s="45">
      <c r="A13" s="59" t="n">
        <v>3</v>
      </c>
      <c r="B13" s="60" t="inlineStr">
        <is>
          <t>HU-08
Perfil profesional (proveedor)</t>
        </is>
      </c>
      <c r="C13" s="60" t="inlineStr">
        <is>
          <t>Creación y edición del perfil profesional del proveedor con información de negocio, experiencia y servicios.</t>
        </is>
      </c>
      <c r="D13" s="60" t="inlineStr">
        <is>
          <t>CRUD completo del perfil; endpoints documentados; imágenes cargadas correctamente; pruebas de integración pasadas.</t>
        </is>
      </c>
      <c r="E13" s="61" t="inlineStr">
        <is>
          <t>Harold Alvarado</t>
        </is>
      </c>
      <c r="F13" s="62" t="inlineStr">
        <is>
          <t>15/04/2026</t>
        </is>
      </c>
      <c r="G13" s="63" t="inlineStr">
        <is>
          <t>En revisión — HALLAZGO: Las imágenes adicionales del proveedor no se cargan correctamente en Safari/iOS debido a incompatibilidad en la integración con Firebase Storage. CRUD textual del perfil funcional. Endpoints documentados en Swagger.</t>
        </is>
      </c>
      <c r="H13" s="62" t="inlineStr">
        <is>
          <t>22/04/2026</t>
        </is>
      </c>
      <c r="I13" s="63" t="inlineStr">
        <is>
          <t>Completada — Hallazgo de carga de imágenes corregido. Se implementó manejo de errores adicional para Firebase Storage. CRUD completo validado. Pruebas de integración con Postman aprobadas.</t>
        </is>
      </c>
      <c r="J13" s="62" t="inlineStr">
        <is>
          <t>25/05/2026</t>
        </is>
      </c>
      <c r="K13" s="63" t="inlineStr">
        <is>
          <t>Por realizar — Verificación final con datos reales de proveedores.</t>
        </is>
      </c>
      <c r="L13" s="61" t="inlineStr">
        <is>
          <t>✅ Completada</t>
        </is>
      </c>
      <c r="M13" s="64" t="inlineStr">
        <is>
          <t>HALLAZGO RESUELTO: Compatibilidad Safari/iOS con Firebase Storage. Lección aprendida: probar en múltiples navegadores desde el inicio.</t>
        </is>
      </c>
    </row>
    <row r="14" ht="72" customHeight="1" s="45">
      <c r="A14" s="59" t="n">
        <v>4</v>
      </c>
      <c r="B14" s="60" t="inlineStr">
        <is>
          <t>HU-07
Perfil de mascotas (cliente)</t>
        </is>
      </c>
      <c r="C14" s="60" t="inlineStr">
        <is>
          <t>Creación y edición del perfil de cada mascota con información básica del dueño.</t>
        </is>
      </c>
      <c r="D14" s="60" t="inlineStr">
        <is>
          <t>CRUD completo de perfiles de mascotas; validación de campos obligatorios; pruebas unitarias e integración pasadas.</t>
        </is>
      </c>
      <c r="E14" s="61" t="inlineStr">
        <is>
          <t>Juan Forero</t>
        </is>
      </c>
      <c r="F14" s="62" t="inlineStr">
        <is>
          <t>15/04/2026</t>
        </is>
      </c>
      <c r="G14" s="63" t="inlineStr">
        <is>
          <t>Completada — CRUD completo de perfiles de mascotas funcional. Validación de campos obligatorios correcta. Vinculación mascota–usuario en Firestore verificada. Pruebas unitarias aprobadas.</t>
        </is>
      </c>
      <c r="H14" s="62" t="inlineStr">
        <is>
          <t>22/04/2026</t>
        </is>
      </c>
      <c r="I14" s="63" t="inlineStr">
        <is>
          <t>Completada — Sin regresiones. Múltiples mascotas por usuario confirmado (&gt;3 registros de prueba exitosos).</t>
        </is>
      </c>
      <c r="J14" s="62" t="inlineStr">
        <is>
          <t>25/05/2026</t>
        </is>
      </c>
      <c r="K14" s="63" t="inlineStr">
        <is>
          <t>Por realizar — Verificación final con usuarios piloto.</t>
        </is>
      </c>
      <c r="L14" s="61" t="inlineStr">
        <is>
          <t>✅ Completada</t>
        </is>
      </c>
      <c r="M14" s="63" t="inlineStr">
        <is>
          <t>HU completada sin hallazgos críticos. El modelo de datos Firestore mascotas→usuario funciona correctamente.</t>
        </is>
      </c>
    </row>
    <row r="15" ht="72" customHeight="1" s="45">
      <c r="A15" s="59" t="n">
        <v>5</v>
      </c>
      <c r="B15" s="60" t="inlineStr">
        <is>
          <t>HU-05
Publicación de servicios</t>
        </is>
      </c>
      <c r="C15" s="60" t="inlineStr">
        <is>
          <t>Formulario para que el proveedor publique nuevos servicios con tipo, descripción y precio.</t>
        </is>
      </c>
      <c r="D15" s="60" t="inlineStr">
        <is>
          <t>Servicio visible en el catálogo tras publicación; validación de campos; endpoints documentados; pruebas pasadas.</t>
        </is>
      </c>
      <c r="E15" s="61" t="inlineStr">
        <is>
          <t>Anthony González</t>
        </is>
      </c>
      <c r="F15" s="62" t="inlineStr">
        <is>
          <t>25/04/2026</t>
        </is>
      </c>
      <c r="G15" s="63" t="inlineStr">
        <is>
          <t>Completada — Publicación de servicios operativa. Los 5 tipos de servicio disponibles. Validación de campos obligatorios correcta. Servicio visible en catálogo inmediatamente tras publicación. Endpoints con Swagger documentados.</t>
        </is>
      </c>
      <c r="H15" s="62" t="inlineStr">
        <is>
          <t>06/05/2026</t>
        </is>
      </c>
      <c r="I15" s="63" t="inlineStr">
        <is>
          <t>Completada — Sin regresiones con Sprint 3 integrado. Confirmado que solo proveedores con perfil creado pueden publicar servicios.</t>
        </is>
      </c>
      <c r="J15" s="62" t="inlineStr">
        <is>
          <t>25/05/2026</t>
        </is>
      </c>
      <c r="K15" s="63" t="inlineStr">
        <is>
          <t>Por realizar — Auditoría final de entrega del MVP.</t>
        </is>
      </c>
      <c r="L15" s="61" t="inlineStr">
        <is>
          <t>✅ Completada</t>
        </is>
      </c>
      <c r="M15" s="63" t="inlineStr">
        <is>
          <t>HU completada sin hallazgos. Restricción de acceso por perfil profesional verificada correctamente.</t>
        </is>
      </c>
    </row>
    <row r="16" ht="72" customHeight="1" s="45">
      <c r="A16" s="59" t="n">
        <v>6</v>
      </c>
      <c r="B16" s="60" t="inlineStr">
        <is>
          <t>HU-04
Catálogo de servicios</t>
        </is>
      </c>
      <c r="C16" s="60" t="inlineStr">
        <is>
          <t>Página de listado y detalle de servicios disponibles con filtro por tipo.</t>
        </is>
      </c>
      <c r="D16" s="60" t="inlineStr">
        <is>
          <t>Listado paginado; filtro funcional; detalle de servicio completo; tiempos de carga aceptables; pruebas pasadas.</t>
        </is>
      </c>
      <c r="E16" s="61" t="inlineStr">
        <is>
          <t>Harold Alvarado</t>
        </is>
      </c>
      <c r="F16" s="62" t="inlineStr">
        <is>
          <t>25/04/2026</t>
        </is>
      </c>
      <c r="G16" s="63" t="inlineStr">
        <is>
          <t>Completada — Catálogo funcional con filtro por tipo de servicio. Detalle de servicio completo. Tiempos de carga aceptables. Enlace a perfil del proveedor operativo. Diseño responsivo verificado.</t>
        </is>
      </c>
      <c r="H16" s="62" t="inlineStr">
        <is>
          <t>06/05/2026</t>
        </is>
      </c>
      <c r="I16" s="63" t="inlineStr">
        <is>
          <t>Completada — Sin regresiones. Filtros validados con múltiples tipos y combinaciones. Paginación correcta verificada.</t>
        </is>
      </c>
      <c r="J16" s="62" t="inlineStr">
        <is>
          <t>25/05/2026</t>
        </is>
      </c>
      <c r="K16" s="63" t="inlineStr">
        <is>
          <t>Por realizar — Validación final con datos reales.</t>
        </is>
      </c>
      <c r="L16" s="61" t="inlineStr">
        <is>
          <t>✅ Completada</t>
        </is>
      </c>
      <c r="M16" s="63" t="inlineStr">
        <is>
          <t>HU completada sin hallazgos. El catálogo es el módulo de mayor visibilidad para los usuarios.</t>
        </is>
      </c>
    </row>
    <row r="17" ht="72" customHeight="1" s="45">
      <c r="A17" s="59" t="n">
        <v>7</v>
      </c>
      <c r="B17" s="60" t="inlineStr">
        <is>
          <t>HU-06
Gestión de servicios (proveedor)</t>
        </is>
      </c>
      <c r="C17" s="60" t="inlineStr">
        <is>
          <t>Panel de administración para editar, activar o desactivar los servicios publicados por el proveedor.</t>
        </is>
      </c>
      <c r="D17" s="60" t="inlineStr">
        <is>
          <t>Edición y cambio de estado de servicios; endpoints documentados; pruebas unitarias e integración pasadas.</t>
        </is>
      </c>
      <c r="E17" s="61" t="inlineStr">
        <is>
          <t>Juan Forero</t>
        </is>
      </c>
      <c r="F17" s="62" t="inlineStr">
        <is>
          <t>25/04/2026</t>
        </is>
      </c>
      <c r="G17" s="63" t="inlineStr">
        <is>
          <t>En revisión — HALLAZGO: El botón desactivar/activar servicio no refleja el cambio de estado en el catálogo público sin recargar la página. La edición y eliminación funcionan correctamente. Restricción de acceso al proveedor dueño verificada.</t>
        </is>
      </c>
      <c r="H17" s="62" t="inlineStr">
        <is>
          <t>06/05/2026</t>
        </is>
      </c>
      <c r="I17" s="63" t="inlineStr">
        <is>
          <t>Completada — Hallazgo de actualización en tiempo real corregido con listener de Firestore. Estado visible en catálogo en tiempo real. Pruebas de integración aprobadas. Criterios de aceptación 100% cumplidos.</t>
        </is>
      </c>
      <c r="J17" s="62" t="inlineStr">
        <is>
          <t>25/05/2026</t>
        </is>
      </c>
      <c r="K17" s="63" t="inlineStr">
        <is>
          <t>Por realizar — Verificación final de estabilidad.</t>
        </is>
      </c>
      <c r="L17" s="61" t="inlineStr">
        <is>
          <t>✅ Completada</t>
        </is>
      </c>
      <c r="M17" s="64" t="inlineStr">
        <is>
          <t>HALLAZGO RESUELTO: Actualización en tiempo real con listener Firestore. Lección: usar onSnapshot para datos que cambian frecuentemente.</t>
        </is>
      </c>
    </row>
    <row r="18" ht="72" customHeight="1" s="45">
      <c r="A18" s="59" t="n">
        <v>8</v>
      </c>
      <c r="B18" s="60" t="inlineStr">
        <is>
          <t>HU-09
Perfil profesional público</t>
        </is>
      </c>
      <c r="C18" s="60" t="inlineStr">
        <is>
          <t>Página pública con información completa del proveedor para que los clientes tomen decisiones informadas.</t>
        </is>
      </c>
      <c r="D18" s="60" t="inlineStr">
        <is>
          <t>Información completa y actualizada; reseñas visibles; diseño responsivo; pruebas pasadas.</t>
        </is>
      </c>
      <c r="E18" s="61" t="inlineStr">
        <is>
          <t>Andres Daza</t>
        </is>
      </c>
      <c r="F18" s="62" t="inlineStr">
        <is>
          <t>25/04/2026</t>
        </is>
      </c>
      <c r="G18" s="63" t="inlineStr">
        <is>
          <t>Completada — Perfil público del proveedor accesible desde el catálogo. Información completa mostrada. Diseño responsivo verificado en móvil (320px) y escritorio. Tiempo de carga &lt; 2s.</t>
        </is>
      </c>
      <c r="H18" s="62" t="inlineStr">
        <is>
          <t>06/05/2026</t>
        </is>
      </c>
      <c r="I18" s="63" t="inlineStr">
        <is>
          <t>Completada — Re-verificado con reseñas de Sprint 3 ya integradas. Puntuación promedio visible correctamente. Sin regresiones.</t>
        </is>
      </c>
      <c r="J18" s="62" t="inlineStr">
        <is>
          <t>25/05/2026</t>
        </is>
      </c>
      <c r="K18" s="63" t="inlineStr">
        <is>
          <t>Por realizar — Verificación final con perfiles y reseñas reales.</t>
        </is>
      </c>
      <c r="L18" s="61" t="inlineStr">
        <is>
          <t>✅ Completada</t>
        </is>
      </c>
      <c r="M18" s="63" t="inlineStr">
        <is>
          <t>HU completada sin hallazgos. La integración con reseñas (Sprint 3) amplía correctamente la información del perfil.</t>
        </is>
      </c>
    </row>
    <row r="19" ht="72" customHeight="1" s="45">
      <c r="A19" s="59" t="n">
        <v>9</v>
      </c>
      <c r="B19" s="60" t="inlineStr">
        <is>
          <t>HU-10
Solicitud de servicio (cliente)</t>
        </is>
      </c>
      <c r="C19" s="60" t="inlineStr">
        <is>
          <t>Formulario para solicitar un servicio especificando mascota, fecha y detalles adicionales.</t>
        </is>
      </c>
      <c r="D19" s="60" t="inlineStr">
        <is>
          <t>Solicitud registrada en DB; notificación vía Web Socket al proveedor; validación de campos; pruebas de integración pasadas.</t>
        </is>
      </c>
      <c r="E19" s="61" t="inlineStr">
        <is>
          <t>Harold Alvarado</t>
        </is>
      </c>
      <c r="F19" s="62" t="inlineStr">
        <is>
          <t>13/05/2026</t>
        </is>
      </c>
      <c r="G19" s="63" t="inlineStr">
        <is>
          <t>En revisión — HALLAZGO MAYOR: Se superaron horas planificadas en 33% (39h plan vs 52h real) por complejidad de Web Sockets. Funcionalidad de solicitud operativa y registrada en Firestore. Las notificaciones WebSocket presentan latencia variable (1–4s) en entorno de desarrollo; debe verificarse en producción.</t>
        </is>
      </c>
      <c r="H19" s="62" t="inlineStr">
        <is>
          <t>20/05/2026</t>
        </is>
      </c>
      <c r="I19" s="63" t="inlineStr">
        <is>
          <t>Por realizar — Verificar optimización de WebSockets y latencia en entorno de staging.</t>
        </is>
      </c>
      <c r="J19" s="62" t="inlineStr">
        <is>
          <t>25/05/2026</t>
        </is>
      </c>
      <c r="K19" s="63" t="inlineStr">
        <is>
          <t>Por realizar — Validación final de rendimiento y estabilidad.</t>
        </is>
      </c>
      <c r="L19" s="61" t="inlineStr">
        <is>
          <t>⚠️ En revisión</t>
        </is>
      </c>
      <c r="M19" s="64" t="inlineStr">
        <is>
          <t>HALLAZGO ABIERTO: Latencia WebSocket por verificar. Registrar como deuda técnica. La desviación de horas (+13h) se registró como costo de oportunidad en la Línea Base de Costos.</t>
        </is>
      </c>
    </row>
    <row r="20" ht="72" customHeight="1" s="45">
      <c r="A20" s="59" t="n">
        <v>10</v>
      </c>
      <c r="B20" s="60" t="inlineStr">
        <is>
          <t>HU-11
Gestión de solicitudes (proveedor)</t>
        </is>
      </c>
      <c r="C20" s="60" t="inlineStr">
        <is>
          <t>Panel para que el proveedor vea, acepte o rechace las solicitudes de servicio recibidas.</t>
        </is>
      </c>
      <c r="D20" s="60" t="inlineStr">
        <is>
          <t>Cambio de estado reflejado en tiempo real; notificación al cliente; endpoints documentados; pruebas pasadas.</t>
        </is>
      </c>
      <c r="E20" s="61" t="inlineStr">
        <is>
          <t>Juan Forero</t>
        </is>
      </c>
      <c r="F20" s="62" t="inlineStr">
        <is>
          <t>13/05/2026</t>
        </is>
      </c>
      <c r="G20" s="63" t="inlineStr">
        <is>
          <t>Completada — Panel del proveedor funcional. Aceptar y rechazar solicitudes operativo. Actualización de estado en tiempo real verificada con listener Firestore. Notificación al cliente confirmada. Endpoints documentados y probados con Postman.</t>
        </is>
      </c>
      <c r="H20" s="62" t="inlineStr">
        <is>
          <t>20/05/2026</t>
        </is>
      </c>
      <c r="I20" s="63" t="inlineStr">
        <is>
          <t>Por realizar — Verificación de integración con módulo de calificaciones.</t>
        </is>
      </c>
      <c r="J20" s="62" t="inlineStr">
        <is>
          <t>25/05/2026</t>
        </is>
      </c>
      <c r="K20" s="63" t="inlineStr">
        <is>
          <t>Por realizar — Auditoría final de entrega.</t>
        </is>
      </c>
      <c r="L20" s="61" t="inlineStr">
        <is>
          <t>✅ Completada</t>
        </is>
      </c>
      <c r="M20" s="63" t="inlineStr">
        <is>
          <t>HU completada en primera auditoría. Integración con WebSocket de HU-10 verificada correctamente.</t>
        </is>
      </c>
    </row>
    <row r="21" ht="72" customHeight="1" s="45">
      <c r="A21" s="59" t="n">
        <v>11</v>
      </c>
      <c r="B21" s="60" t="inlineStr">
        <is>
          <t>HU-12
Reseñas y calificaciones</t>
        </is>
      </c>
      <c r="C21" s="60" t="inlineStr">
        <is>
          <t>Formulario para que el cliente califique y deje una reseña del servicio recibido.</t>
        </is>
      </c>
      <c r="D21" s="60" t="inlineStr">
        <is>
          <t>Reseña guardada y visible en perfil del proveedor; puntuación promedio calculada; pruebas unitarias e integración pasadas.</t>
        </is>
      </c>
      <c r="E21" s="61" t="inlineStr">
        <is>
          <t>Anthony González</t>
        </is>
      </c>
      <c r="F21" s="62" t="inlineStr">
        <is>
          <t>13/05/2026</t>
        </is>
      </c>
      <c r="G21" s="63" t="inlineStr">
        <is>
          <t>Completada — Formulario de reseña funcional. Calificación guardada correctamente en Firestore. Promedio del proveedor actualizado automáticamente. Reseña visible en perfil público. Calificación habilitada solo para solicitudes con estado 'completada'. Pruebas de integración aprobadas.</t>
        </is>
      </c>
      <c r="H21" s="62" t="inlineStr">
        <is>
          <t>20/05/2026</t>
        </is>
      </c>
      <c r="I21" s="63" t="inlineStr">
        <is>
          <t>Por realizar — Verificación de integridad del cálculo de promedios con múltiples reseñas.</t>
        </is>
      </c>
      <c r="J21" s="62" t="inlineStr">
        <is>
          <t>25/05/2026</t>
        </is>
      </c>
      <c r="K21" s="63" t="inlineStr">
        <is>
          <t>Por realizar — Validación final.</t>
        </is>
      </c>
      <c r="L21" s="61" t="inlineStr">
        <is>
          <t>✅ Completada</t>
        </is>
      </c>
      <c r="M21" s="63" t="inlineStr">
        <is>
          <t>HU completada. La restricción de calificar solo solicitudes completadas es crítica para la integridad del sistema de reputación.</t>
        </is>
      </c>
    </row>
    <row r="22" ht="72" customHeight="1" s="45">
      <c r="A22" s="59" t="n">
        <v>12</v>
      </c>
      <c r="B22" s="60" t="inlineStr">
        <is>
          <t>HU-14
Historial y estadísticas (proveedor)</t>
        </is>
      </c>
      <c r="C22" s="60" t="inlineStr">
        <is>
          <t>Sección con el historial completo de servicios prestados y métricas de desempeño del proveedor.</t>
        </is>
      </c>
      <c r="D22" s="60" t="inlineStr">
        <is>
          <t>Historial correcto y ordenado; estadísticas calculadas sin errores; endpoints documentados; pruebas pasadas.</t>
        </is>
      </c>
      <c r="E22" s="61" t="inlineStr">
        <is>
          <t>Andres Daza</t>
        </is>
      </c>
      <c r="F22" s="62" t="inlineStr">
        <is>
          <t>13/05/2026</t>
        </is>
      </c>
      <c r="G22" s="63" t="inlineStr">
        <is>
          <t>Completada — Historial de servicios prestados correcto y en orden cronológico inverso. Estadísticas calculadas correctamente (total servicios, promedio calificación, ingresos). Filtros por estado y fecha funcionales. Endpoints documentados.</t>
        </is>
      </c>
      <c r="H22" s="62" t="inlineStr">
        <is>
          <t>20/05/2026</t>
        </is>
      </c>
      <c r="I22" s="63" t="inlineStr">
        <is>
          <t>Por realizar — Verificar rendimiento de consultas Firestore con volumen mayor de datos.</t>
        </is>
      </c>
      <c r="J22" s="62" t="inlineStr">
        <is>
          <t>25/05/2026</t>
        </is>
      </c>
      <c r="K22" s="63" t="inlineStr">
        <is>
          <t>Por realizar — Auditoría final.</t>
        </is>
      </c>
      <c r="L22" s="61" t="inlineStr">
        <is>
          <t>✅ Completada</t>
        </is>
      </c>
      <c r="M22" s="63" t="inlineStr">
        <is>
          <t>HU completada. Pendiente verificar rendimiento de consultas agregadas en Firestore con datos reales de producción.</t>
        </is>
      </c>
    </row>
    <row r="23" ht="72" customHeight="1" s="45">
      <c r="A23" s="59" t="n">
        <v>13</v>
      </c>
      <c r="B23" s="60" t="inlineStr">
        <is>
          <t>HU-13
Historial de servicios (cliente)</t>
        </is>
      </c>
      <c r="C23" s="60" t="inlineStr">
        <is>
          <t>Sección con el historial completo de servicios solicitados por el cliente.</t>
        </is>
      </c>
      <c r="D23" s="60" t="inlineStr">
        <is>
          <t>Historial correcto; filtros funcionales; endpoints documentados; pruebas de integración pasadas.</t>
        </is>
      </c>
      <c r="E23" s="61" t="inlineStr">
        <is>
          <t>Andres Daza</t>
        </is>
      </c>
      <c r="F23" s="62" t="inlineStr">
        <is>
          <t>13/05/2026</t>
        </is>
      </c>
      <c r="G23" s="63" t="inlineStr">
        <is>
          <t>Completada — Historial del cliente correcto. Filtros por estado, fecha y tipo de servicio funcionales. Orden cronológico correcto (más reciente primero). Pruebas de integración aprobadas. Diseño responsivo verificado.</t>
        </is>
      </c>
      <c r="H23" s="62" t="inlineStr">
        <is>
          <t>20/05/2026</t>
        </is>
      </c>
      <c r="I23" s="63" t="inlineStr">
        <is>
          <t>Por realizar — Verificar con historial extenso (&gt;20 registros) para validar paginación.</t>
        </is>
      </c>
      <c r="J23" s="62" t="inlineStr">
        <is>
          <t>25/05/2026</t>
        </is>
      </c>
      <c r="K23" s="63" t="inlineStr">
        <is>
          <t>Por realizar — Validación final.</t>
        </is>
      </c>
      <c r="L23" s="61" t="inlineStr">
        <is>
          <t>✅ Completada</t>
        </is>
      </c>
      <c r="M23" s="63" t="inlineStr">
        <is>
          <t>HU completada. La paginación debe verificarse con volumen real de datos en la 2ª auditoría.</t>
        </is>
      </c>
    </row>
    <row r="24" ht="72" customHeight="1" s="45">
      <c r="A24" s="59" t="n">
        <v>14</v>
      </c>
      <c r="B24" s="60" t="inlineStr">
        <is>
          <t>HU-15
Dashboard administrativo</t>
        </is>
      </c>
      <c r="C24" s="60" t="inlineStr">
        <is>
          <t>Panel administrativo con métricas globales: total de usuarios, proveedores activos y servicios publicados.</t>
        </is>
      </c>
      <c r="D24" s="60" t="inlineStr">
        <is>
          <t>Métricas actualizadas en tiempo real; acceso restringido a administradores; diseño responsivo; pruebas pasadas.</t>
        </is>
      </c>
      <c r="E24" s="61" t="inlineStr">
        <is>
          <t>Harold Alvarado</t>
        </is>
      </c>
      <c r="F24" s="62" t="inlineStr">
        <is>
          <t>25/05/2026</t>
        </is>
      </c>
      <c r="G24" s="63" t="inlineStr">
        <is>
          <t>Por realizar — Auditoría pendiente al cierre del Sprint 4.</t>
        </is>
      </c>
      <c r="H24" s="65" t="n"/>
      <c r="I24" s="60" t="n"/>
      <c r="J24" s="65" t="n"/>
      <c r="K24" s="60" t="n"/>
      <c r="L24" s="62" t="inlineStr">
        <is>
          <t>🔄 Pendiente</t>
        </is>
      </c>
      <c r="M24" s="63" t="inlineStr">
        <is>
          <t>Sprint 4 no iniciado. Auditoría programada para el 25/05/2026.</t>
        </is>
      </c>
    </row>
    <row r="25" ht="72" customHeight="1" s="45">
      <c r="A25" s="59" t="n">
        <v>15</v>
      </c>
      <c r="B25" s="60" t="inlineStr">
        <is>
          <t>HU-16
Gestión de usuarios (admin)</t>
        </is>
      </c>
      <c r="C25" s="60" t="inlineStr">
        <is>
          <t>Panel para listar todos los usuarios/proveedores y activar/desactivar cuentas.</t>
        </is>
      </c>
      <c r="D25" s="60" t="inlineStr">
        <is>
          <t>Listado completo; cambio de estado persistente en Firebase; acciones auditables; pruebas de integración pasadas.</t>
        </is>
      </c>
      <c r="E25" s="61" t="inlineStr">
        <is>
          <t>Juan Forero</t>
        </is>
      </c>
      <c r="F25" s="62" t="inlineStr">
        <is>
          <t>25/05/2026</t>
        </is>
      </c>
      <c r="G25" s="63" t="inlineStr">
        <is>
          <t>Por realizar — Auditoría pendiente al cierre del Sprint 4.</t>
        </is>
      </c>
      <c r="H25" s="65" t="n"/>
      <c r="I25" s="60" t="n"/>
      <c r="J25" s="65" t="n"/>
      <c r="K25" s="60" t="n"/>
      <c r="L25" s="62" t="inlineStr">
        <is>
          <t>🔄 Pendiente</t>
        </is>
      </c>
      <c r="M25" s="63" t="inlineStr">
        <is>
          <t>Sprint 4 no iniciado. Auditoría programada para el 25/05/2026.</t>
        </is>
      </c>
    </row>
    <row r="26" ht="72" customHeight="1" s="45">
      <c r="A26" s="59" t="n">
        <v>16</v>
      </c>
      <c r="B26" s="60" t="inlineStr">
        <is>
          <t>HU-03
Recuperación de contraseña</t>
        </is>
      </c>
      <c r="C26" s="60" t="inlineStr">
        <is>
          <t>Envío de correo de recuperación de contraseña mediante Firebase Authentication.</t>
        </is>
      </c>
      <c r="D26" s="60" t="inlineStr">
        <is>
          <t>Correo enviado en &lt; 30 s; enlace funcional; manejo de errores; pruebas unitarias e integración pasadas.</t>
        </is>
      </c>
      <c r="E26" s="61" t="inlineStr">
        <is>
          <t>Anthony González</t>
        </is>
      </c>
      <c r="F26" s="62" t="inlineStr">
        <is>
          <t>25/05/2026</t>
        </is>
      </c>
      <c r="G26" s="63" t="inlineStr">
        <is>
          <t>Por realizar — Auditoría pendiente al cierre del Sprint 4.</t>
        </is>
      </c>
      <c r="H26" s="65" t="n"/>
      <c r="I26" s="60" t="n"/>
      <c r="J26" s="65" t="n"/>
      <c r="K26" s="60" t="n"/>
      <c r="L26" s="62" t="inlineStr">
        <is>
          <t>🔄 Pendiente</t>
        </is>
      </c>
      <c r="M26" s="63" t="inlineStr">
        <is>
          <t>Sprint 4 no iniciado. Auditoría programada para el 25/05/2026.</t>
        </is>
      </c>
    </row>
    <row r="27">
      <c r="A27" s="47" t="n"/>
      <c r="B27" s="47" t="n"/>
      <c r="C27" s="47" t="n"/>
      <c r="D27" s="47" t="n"/>
      <c r="E27" s="47" t="n"/>
      <c r="F27" s="47" t="n"/>
      <c r="G27" s="47" t="n"/>
      <c r="H27" s="47" t="n"/>
      <c r="I27" s="47" t="n"/>
      <c r="J27" s="47" t="n"/>
      <c r="K27" s="47" t="n"/>
      <c r="L27" s="47" t="n"/>
      <c r="M27" s="47" t="n"/>
    </row>
    <row r="28" ht="19.5" customHeight="1" s="45">
      <c r="A28" s="66" t="inlineStr">
        <is>
          <t>RESUMEN DE AUDITORÍAS</t>
        </is>
      </c>
      <c r="B28" s="52" t="n"/>
      <c r="C28" s="52" t="n"/>
      <c r="D28" s="52" t="n"/>
      <c r="E28" s="50" t="n"/>
      <c r="F28" s="58" t="inlineStr">
        <is>
          <t>Total entregables:</t>
        </is>
      </c>
      <c r="G28" s="58">
        <f>COUNTA(B11:B26)</f>
        <v/>
      </c>
      <c r="H28" s="58" t="inlineStr">
        <is>
          <t>Completados:</t>
        </is>
      </c>
      <c r="I28" s="58">
        <f>COUNTIF(L11:L26,"✅ Completada")</f>
        <v/>
      </c>
      <c r="J28" s="58" t="inlineStr">
        <is>
          <t>Pendientes:</t>
        </is>
      </c>
      <c r="K28" s="58">
        <f>COUNTIF(L11:L26,"🔄 Pendiente")</f>
        <v/>
      </c>
      <c r="L28" s="58" t="inlineStr">
        <is>
          <t>No conformes:</t>
        </is>
      </c>
      <c r="M28" s="58">
        <f>COUNTIF(L11:L26,"❌ No cumple")</f>
        <v/>
      </c>
    </row>
    <row r="29">
      <c r="A29" s="47" t="n"/>
      <c r="B29" s="47" t="n"/>
      <c r="C29" s="47" t="n"/>
      <c r="D29" s="47" t="n"/>
      <c r="E29" s="47" t="n"/>
      <c r="F29" s="47" t="n"/>
      <c r="G29" s="47" t="n"/>
      <c r="H29" s="47" t="n"/>
      <c r="I29" s="47" t="n"/>
      <c r="J29" s="47" t="n"/>
      <c r="K29" s="47" t="n"/>
      <c r="L29" s="47" t="n"/>
      <c r="M29" s="47" t="n"/>
    </row>
    <row r="30" ht="15.75" customHeight="1" s="45">
      <c r="A30" s="67" t="inlineStr">
        <is>
          <t>LEYENDA DE ESTADOS   |   ✅ Completada   |   ⚠️ En revisión   |   ❌ No cumple con especificaciones   |   🔄 Pendiente</t>
        </is>
      </c>
      <c r="B30" s="52" t="n"/>
      <c r="C30" s="52" t="n"/>
      <c r="D30" s="52" t="n"/>
      <c r="E30" s="52" t="n"/>
      <c r="F30" s="52" t="n"/>
      <c r="G30" s="52" t="n"/>
      <c r="H30" s="52" t="n"/>
      <c r="I30" s="52" t="n"/>
      <c r="J30" s="52" t="n"/>
      <c r="K30" s="52" t="n"/>
      <c r="L30" s="52" t="n"/>
      <c r="M30" s="50" t="n"/>
    </row>
    <row r="31" ht="15.75" customHeight="1" s="45">
      <c r="A31" s="68" t="inlineStr">
        <is>
          <t>Sprint 1 (15 Mar–12 Abr)</t>
        </is>
      </c>
      <c r="B31" s="52" t="n"/>
      <c r="C31" s="50" t="n"/>
      <c r="D31" s="68" t="inlineStr">
        <is>
          <t>Sprint 2 (10 Abr–24 Abr)</t>
        </is>
      </c>
      <c r="E31" s="52" t="n"/>
      <c r="F31" s="50" t="n"/>
      <c r="G31" s="68" t="inlineStr">
        <is>
          <t>Sprint 3 (24 Abr–14 May)</t>
        </is>
      </c>
      <c r="H31" s="52" t="n"/>
      <c r="I31" s="50" t="n"/>
      <c r="J31" s="68" t="inlineStr">
        <is>
          <t>Sprint 4 (14 May–25 May)</t>
        </is>
      </c>
      <c r="K31" s="52" t="n"/>
      <c r="L31" s="50" t="n"/>
      <c r="M31" s="47" t="n"/>
    </row>
    <row r="32" ht="19.5" customHeight="1" s="45">
      <c r="A32" s="69" t="inlineStr">
        <is>
          <t>PRÓXIMAS AUDITORÍAS PLANIFICADAS</t>
        </is>
      </c>
      <c r="B32" s="47" t="n"/>
      <c r="C32" s="47" t="n"/>
      <c r="D32" s="47" t="n"/>
      <c r="E32" s="47" t="n"/>
      <c r="F32" s="47" t="n"/>
      <c r="G32" s="47" t="n"/>
      <c r="H32" s="47" t="n"/>
      <c r="I32" s="47" t="n"/>
      <c r="J32" s="47" t="n"/>
      <c r="K32" s="47" t="n"/>
      <c r="L32" s="47" t="n"/>
      <c r="M32" s="47" t="n"/>
    </row>
    <row r="33" ht="21.75" customHeight="1" s="45">
      <c r="A33" s="70" t="inlineStr">
        <is>
          <t>2ª Auditoría Sprint 3</t>
        </is>
      </c>
      <c r="B33" s="47" t="n"/>
      <c r="C33" s="47" t="n"/>
      <c r="D33" s="70" t="inlineStr">
        <is>
          <t>Verificar corrección WebSocket HU-10; revisar paginación HU-13/HU-14</t>
        </is>
      </c>
      <c r="E33" s="47" t="n"/>
      <c r="F33" s="47" t="n"/>
      <c r="G33" s="47" t="n"/>
      <c r="H33" s="47" t="n"/>
      <c r="I33" s="47" t="n"/>
      <c r="J33" s="71" t="inlineStr">
        <is>
          <t>20/05/2026</t>
        </is>
      </c>
      <c r="K33" s="47" t="n"/>
      <c r="L33" s="71" t="inlineStr">
        <is>
          <t>Harold Alvarado</t>
        </is>
      </c>
      <c r="M33" s="47" t="n"/>
    </row>
    <row r="34" ht="21.75" customHeight="1" s="45">
      <c r="A34" s="70" t="inlineStr">
        <is>
          <t>1ª Auditoría Sprint 4</t>
        </is>
      </c>
      <c r="B34" s="47" t="n"/>
      <c r="C34" s="47" t="n"/>
      <c r="D34" s="70" t="inlineStr">
        <is>
          <t>HU-03, HU-15, HU-16 — Primera verificación al cierre del Sprint 4</t>
        </is>
      </c>
      <c r="E34" s="47" t="n"/>
      <c r="F34" s="47" t="n"/>
      <c r="G34" s="47" t="n"/>
      <c r="H34" s="47" t="n"/>
      <c r="I34" s="47" t="n"/>
      <c r="J34" s="71" t="inlineStr">
        <is>
          <t>25/05/2026</t>
        </is>
      </c>
      <c r="K34" s="47" t="n"/>
      <c r="L34" s="71" t="inlineStr">
        <is>
          <t>Equipo completo</t>
        </is>
      </c>
      <c r="M34" s="47" t="n"/>
    </row>
    <row r="35" ht="21.75" customHeight="1" s="45">
      <c r="A35" s="70" t="inlineStr">
        <is>
          <t>Auditoría Final MVP</t>
        </is>
      </c>
      <c r="B35" s="47" t="n"/>
      <c r="C35" s="47" t="n"/>
      <c r="D35" s="70" t="inlineStr">
        <is>
          <t>Validación integral de los 16 entregables funcionales del MVP</t>
        </is>
      </c>
      <c r="E35" s="47" t="n"/>
      <c r="F35" s="47" t="n"/>
      <c r="G35" s="47" t="n"/>
      <c r="H35" s="47" t="n"/>
      <c r="I35" s="47" t="n"/>
      <c r="J35" s="71" t="inlineStr">
        <is>
          <t>07/06/2026</t>
        </is>
      </c>
      <c r="K35" s="47" t="n"/>
      <c r="L35" s="71" t="inlineStr">
        <is>
          <t>Harold Alvarado</t>
        </is>
      </c>
      <c r="M35" s="47" t="n"/>
    </row>
    <row r="36" ht="21.75" customHeight="1" s="45">
      <c r="A36" s="70" t="inlineStr">
        <is>
          <t>Auditoría Documental</t>
        </is>
      </c>
      <c r="B36" s="47" t="n"/>
      <c r="C36" s="47" t="n"/>
      <c r="D36" s="70" t="inlineStr">
        <is>
          <t>Verificar completitud del repositorio documental antes de la entrega</t>
        </is>
      </c>
      <c r="E36" s="47" t="n"/>
      <c r="F36" s="47" t="n"/>
      <c r="G36" s="47" t="n"/>
      <c r="H36" s="47" t="n"/>
      <c r="I36" s="47" t="n"/>
      <c r="J36" s="71" t="inlineStr">
        <is>
          <t>07/06/2026</t>
        </is>
      </c>
      <c r="K36" s="47" t="n"/>
      <c r="L36" s="71" t="inlineStr">
        <is>
          <t>Andres Daza</t>
        </is>
      </c>
      <c r="M36" s="47" t="n"/>
    </row>
  </sheetData>
  <mergeCells count="29">
    <mergeCell ref="C3:M3"/>
    <mergeCell ref="A32:M32"/>
    <mergeCell ref="C6:M6"/>
    <mergeCell ref="C5:M5"/>
    <mergeCell ref="A6:B6"/>
    <mergeCell ref="H9:I9"/>
    <mergeCell ref="J9:K9"/>
    <mergeCell ref="C9:C10"/>
    <mergeCell ref="C4:M4"/>
    <mergeCell ref="E9:E10"/>
    <mergeCell ref="A7:B7"/>
    <mergeCell ref="J31:L31"/>
    <mergeCell ref="A30:M30"/>
    <mergeCell ref="A3:B3"/>
    <mergeCell ref="B9:B10"/>
    <mergeCell ref="D9:D10"/>
    <mergeCell ref="A1:M1"/>
    <mergeCell ref="L9:L10"/>
    <mergeCell ref="A31:C31"/>
    <mergeCell ref="G31:I31"/>
    <mergeCell ref="A5:B5"/>
    <mergeCell ref="F9:G9"/>
    <mergeCell ref="A4:B4"/>
    <mergeCell ref="A9:A10"/>
    <mergeCell ref="C7:M7"/>
    <mergeCell ref="M9:M10"/>
    <mergeCell ref="A28:E28"/>
    <mergeCell ref="D31:F31"/>
    <mergeCell ref="A2:M2"/>
  </mergeCells>
  <printOptions horizontalCentered="0" verticalCentered="0" headings="0" gridLines="0" gridLinesSet="1"/>
  <pageMargins left="0.4" right="0.4" top="0.6" bottom="0.6" header="0.3" footer="0.3"/>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fitToPage="1"/>
  </sheetPr>
  <dimension ref="A1:B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4" min="1" max="1"/>
    <col width="70" customWidth="1" style="44" min="2" max="2"/>
  </cols>
  <sheetData>
    <row r="1" ht="18" customHeight="1" s="45">
      <c r="A1" s="72" t="inlineStr">
        <is>
          <t>INSTRUCCIONES DE USO</t>
        </is>
      </c>
      <c r="B1" s="47" t="n"/>
    </row>
    <row r="2" ht="18" customHeight="1" s="45">
      <c r="A2" s="73" t="n"/>
      <c r="B2" s="73" t="n"/>
    </row>
    <row r="3" ht="18" customHeight="1" s="45">
      <c r="A3" s="74" t="inlineStr">
        <is>
          <t>Campo</t>
        </is>
      </c>
      <c r="B3" s="75" t="inlineStr">
        <is>
          <t>Descripción</t>
        </is>
      </c>
    </row>
    <row r="4" ht="18" customHeight="1" s="45">
      <c r="A4" s="73" t="inlineStr">
        <is>
          <t>No.</t>
        </is>
      </c>
      <c r="B4" s="73" t="inlineStr">
        <is>
          <t>Número secuencial de cada entregable auditado.</t>
        </is>
      </c>
    </row>
    <row r="5" ht="18" customHeight="1" s="45">
      <c r="A5" s="73" t="inlineStr">
        <is>
          <t>Entregable</t>
        </is>
      </c>
      <c r="B5" s="73" t="inlineStr">
        <is>
          <t>ID de la Historia de Usuario y nombre del entregable funcional.</t>
        </is>
      </c>
    </row>
    <row r="6" ht="18" customHeight="1" s="45">
      <c r="A6" s="73" t="inlineStr">
        <is>
          <t>Descripción</t>
        </is>
      </c>
      <c r="B6" s="73" t="inlineStr">
        <is>
          <t>Breve explicación de qué incluye el entregable.</t>
        </is>
      </c>
    </row>
    <row r="7" ht="18" customHeight="1" s="45">
      <c r="A7" s="73" t="inlineStr">
        <is>
          <t>Criterios de Aceptación</t>
        </is>
      </c>
      <c r="B7" s="73" t="inlineStr">
        <is>
          <t>Condiciones específicas que el entregable debe cumplir para ser aprobado (derivadas del Definition of Done y las historias de usuario).</t>
        </is>
      </c>
    </row>
    <row r="8" ht="18" customHeight="1" s="45">
      <c r="A8" s="73" t="inlineStr">
        <is>
          <t>Nombre del Auditor</t>
        </is>
      </c>
      <c r="B8" s="73" t="inlineStr">
        <is>
          <t>Integrante del equipo responsable de revisar este entregable (celdas en amarillo = requieren ser completadas).</t>
        </is>
      </c>
    </row>
    <row r="9" ht="18" customHeight="1" s="45">
      <c r="A9" s="73" t="inlineStr">
        <is>
          <t>Fecha 1ª / 2ª / 3ª Auditoría</t>
        </is>
      </c>
      <c r="B9" s="73" t="inlineStr">
        <is>
          <t>Fecha en que se realizó cada revisión. Formato: DD/MM/AAAA.</t>
        </is>
      </c>
    </row>
    <row r="10" ht="18" customHeight="1" s="45">
      <c r="A10" s="73" t="inlineStr">
        <is>
          <t>Conclusiones</t>
        </is>
      </c>
      <c r="B10" s="73" t="inlineStr">
        <is>
          <t>Resultado de la auditoría: Completada | Terminada sin probar | No cumple con el cronograma | No se ha completado la entrega | No cumple con las especificaciones.</t>
        </is>
      </c>
    </row>
    <row r="11" ht="18" customHeight="1" s="45">
      <c r="A11" s="73" t="inlineStr">
        <is>
          <t>Estado Final</t>
        </is>
      </c>
      <c r="B11" s="73" t="inlineStr">
        <is>
          <t>Estado actualizado del entregable tras la última auditoría. Usar los estados del leyenda.</t>
        </is>
      </c>
    </row>
    <row r="12" ht="18" customHeight="1" s="45">
      <c r="A12" s="73" t="inlineStr">
        <is>
          <t>Observaciones / Lecciones Aprendidas</t>
        </is>
      </c>
      <c r="B12" s="73" t="inlineStr">
        <is>
          <t>Notas adicionales, acciones correctivas tomadas, o lecciones aprendidas para futuros sprints.</t>
        </is>
      </c>
    </row>
    <row r="13" ht="18" customHeight="1" s="45">
      <c r="A13" s="73" t="n"/>
      <c r="B13" s="73" t="n"/>
    </row>
    <row r="14" ht="18" customHeight="1" s="45">
      <c r="A14" s="72" t="inlineStr">
        <is>
          <t>OBJETIVOS DE LA AUDITORÍA</t>
        </is>
      </c>
      <c r="B14" s="47" t="n"/>
    </row>
    <row r="15" ht="18" customHeight="1" s="45">
      <c r="A15" s="73" t="n"/>
      <c r="B15" s="73" t="n"/>
    </row>
    <row r="16" ht="18" customHeight="1" s="45">
      <c r="A16" s="73" t="inlineStr">
        <is>
          <t>1</t>
        </is>
      </c>
      <c r="B16" s="73" t="inlineStr">
        <is>
          <t>Identificar todas las mejores prácticas empleadas durante el desarrollo.</t>
        </is>
      </c>
    </row>
    <row r="17" ht="18" customHeight="1" s="45">
      <c r="A17" s="73" t="inlineStr">
        <is>
          <t>2</t>
        </is>
      </c>
      <c r="B17" s="73" t="inlineStr">
        <is>
          <t>Identificar diferencias y anomalías respecto a los estándares acordados.</t>
        </is>
      </c>
    </row>
    <row r="18" ht="18" customHeight="1" s="45">
      <c r="A18" s="73" t="inlineStr">
        <is>
          <t>3</t>
        </is>
      </c>
      <c r="B18" s="73" t="inlineStr">
        <is>
          <t>Compartir buenas prácticas con el equipo y documentarlas.</t>
        </is>
      </c>
    </row>
    <row r="19" ht="18" customHeight="1" s="45">
      <c r="A19" s="73" t="inlineStr">
        <is>
          <t>4</t>
        </is>
      </c>
      <c r="B19" s="73" t="inlineStr">
        <is>
          <t>Ofrecer asesoramiento positivo y proactivo para mejorar la productividad.</t>
        </is>
      </c>
    </row>
    <row r="20" ht="18" customHeight="1" s="45">
      <c r="A20" s="73" t="inlineStr">
        <is>
          <t>5</t>
        </is>
      </c>
      <c r="B20" s="73" t="inlineStr">
        <is>
          <t>Registrar las contribuciones en la base de lecciones aprendidas del proyecto.</t>
        </is>
      </c>
    </row>
  </sheetData>
  <mergeCells count="2">
    <mergeCell ref="A14:B14"/>
    <mergeCell ref="A1:B1"/>
  </mergeCells>
  <printOptions horizontalCentered="0" verticalCentered="0" headings="0" gridLines="0" gridLinesSet="1"/>
  <pageMargins left="0.4" right="0.4" top="0.6" bottom="0.6" header="0.3" footer="0.3"/>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2026-05-13T19:25:53Z</dcterms:created>
  <dcterms:modified xmlns:dcterms="http://purl.org/dc/terms/" xmlns:xsi="http://www.w3.org/2001/XMLSchema-instance" xsi:type="dcterms:W3CDTF">2026-05-15T16:45:52Z</dcterms:modified>
  <cp:revision>0</cp:revision>
</cp:coreProperties>
</file>